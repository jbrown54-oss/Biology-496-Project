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penthes measurements CLEAN" sheetId="1" r:id="rId5"/>
  </sheets>
  <definedNames/>
  <calcPr/>
</workbook>
</file>

<file path=xl/sharedStrings.xml><?xml version="1.0" encoding="utf-8"?>
<sst xmlns="http://schemas.openxmlformats.org/spreadsheetml/2006/main" count="499" uniqueCount="92">
  <si>
    <t>RESULTS</t>
  </si>
  <si>
    <t>immature</t>
  </si>
  <si>
    <t>mature</t>
  </si>
  <si>
    <t>WHAT IT TELLS YOU</t>
  </si>
  <si>
    <t>GLAND SPACING - stomach, INSIDE face, 50x</t>
  </si>
  <si>
    <t>Glands marked (n)</t>
  </si>
  <si>
    <t>Straight count of the position rows below.</t>
  </si>
  <si>
    <t>50x fields used</t>
  </si>
  <si>
    <t>Counted from the image names.</t>
  </si>
  <si>
    <t>Gland density (per mm2)</t>
  </si>
  <si>
    <t>MATURE IS DENSER - the opposite of what we predicted.</t>
  </si>
  <si>
    <t>Mean spacing to nearest gland (um)</t>
  </si>
  <si>
    <t>Almost IDENTICAL across stages, despite the density gap.</t>
  </si>
  <si>
    <t>SD of spacing (um)</t>
  </si>
  <si>
    <t>CV of spacing</t>
  </si>
  <si>
    <t>LOWER = more even. Mature is tidier.</t>
  </si>
  <si>
    <t>Spacing expected if random (um)</t>
  </si>
  <si>
    <t>Donnelly edge-corrected - the field is small enough that edges matter.</t>
  </si>
  <si>
    <t>CLARK-EVANS R</t>
  </si>
  <si>
    <t>&lt;1 clumped, 1 random, &gt;1 evenly spaced. Both regular; mature more so.</t>
  </si>
  <si>
    <t>GLAND SIZE - stomach, INSIDE face, 50x</t>
  </si>
  <si>
    <t>Glands outlined (n)</t>
  </si>
  <si>
    <t>Mean gland area (um2)</t>
  </si>
  <si>
    <t>IMMATURE GLANDS ARE BIGGER (Mann-Whitney p = 0.0001).</t>
  </si>
  <si>
    <t>SD gland area (um2)</t>
  </si>
  <si>
    <t>Report as mean +/- SD.</t>
  </si>
  <si>
    <t>Median gland area (um2)</t>
  </si>
  <si>
    <t>Equivalent diameter (um)</t>
  </si>
  <si>
    <t>The readable version of area.</t>
  </si>
  <si>
    <t>Field covered by glands (%, est.)</t>
  </si>
  <si>
    <t>ESSENTIALLY EQUAL. Same share of wall, built differently.</t>
  </si>
  <si>
    <t>EPIDERMAL CELLS - THROAT, OUTSIDE face, 800x</t>
  </si>
  <si>
    <t>Cells traced (n)</t>
  </si>
  <si>
    <t>Mean cell area (um2)</t>
  </si>
  <si>
    <t>MATURE CELLS ARE ~2x LARGER (Mann-Whitney p = 0.0001).</t>
  </si>
  <si>
    <t>SD cell area (um2)</t>
  </si>
  <si>
    <t>23 um vs 34 um - both plausible epidermal cell sizes.</t>
  </si>
  <si>
    <t>TRICHOMES - OUTSIDE face, 50x</t>
  </si>
  <si>
    <t>Throat count (TYPED IN)</t>
  </si>
  <si>
    <t>Images ithf50x / mthf50x</t>
  </si>
  <si>
    <t>Throat density (per mm2)</t>
  </si>
  <si>
    <t>IMMATURE DENSER IN BOTH ZONES - two independent contrasts agreeing.</t>
  </si>
  <si>
    <t>Stomach count (TYPED IN)</t>
  </si>
  <si>
    <t>Images istf50x / msf50x</t>
  </si>
  <si>
    <t>Stomach density (per mm2)</t>
  </si>
  <si>
    <t>Throat beats stomach in both stages too.</t>
  </si>
  <si>
    <t>DATA 1 - GLAND POSITIONS (stomach, INSIDE face, 50x). Multi-point, every gland in the field.</t>
  </si>
  <si>
    <t>stage</t>
  </si>
  <si>
    <t>image</t>
  </si>
  <si>
    <t>X (um)</t>
  </si>
  <si>
    <t>Y (um)</t>
  </si>
  <si>
    <t>AUTO nearest gland (um)</t>
  </si>
  <si>
    <t>istb50x</t>
  </si>
  <si>
    <t>msb50x</t>
  </si>
  <si>
    <t>Edge rule used: glands touching the TOP and LEFT edges counted, BOTTOM and RIGHT skipped.</t>
  </si>
  <si>
    <t>DATA 2 - GLAND SIZES (same images). Freehand outlines, a subset - the count comes from DATA 1.</t>
  </si>
  <si>
    <t>Area (um2)</t>
  </si>
  <si>
    <t>AUTO diameter (um)</t>
  </si>
  <si>
    <t>DATA 3 - EPIDERMAL CELLS (OUTSIDE face, 800x). All are trichome close-ups, both stages - so the comparison is matched.</t>
  </si>
  <si>
    <t>zone</t>
  </si>
  <si>
    <t>note</t>
  </si>
  <si>
    <t>throat</t>
  </si>
  <si>
    <t>ithftrichome800x</t>
  </si>
  <si>
    <t>ithftrichome2_800x</t>
  </si>
  <si>
    <t>mthf</t>
  </si>
  <si>
    <t>EXCLUDED</t>
  </si>
  <si>
    <t>stomach</t>
  </si>
  <si>
    <t>msf800x</t>
  </si>
  <si>
    <t>SCALE LOOKS WRONG - 3-15 um^2 means a 3 um cell; epidermal cells are 25-30 um (400-900 um^2), which is what the other 3 images give. Re-measure, then change column A to 'mature' and every number above updates itself.</t>
  </si>
  <si>
    <t>DATA 4 - TRICHOME SHAPES (collected earlier, reference only). Figure 4's number is the DENSITY above; every close-up holds exactly one trichome.</t>
  </si>
  <si>
    <t>morphotype</t>
  </si>
  <si>
    <t>trichome id</t>
  </si>
  <si>
    <t>branch</t>
  </si>
  <si>
    <t>metric</t>
  </si>
  <si>
    <t>value (um)</t>
  </si>
  <si>
    <t>circle</t>
  </si>
  <si>
    <t>mthf_circle_1</t>
  </si>
  <si>
    <t>perimeter</t>
  </si>
  <si>
    <t>branched</t>
  </si>
  <si>
    <t>mstf_1</t>
  </si>
  <si>
    <t>length</t>
  </si>
  <si>
    <t>source image unconfirmed</t>
  </si>
  <si>
    <t>mstf_2</t>
  </si>
  <si>
    <t>mstf_3</t>
  </si>
  <si>
    <t>one value - whole trichome or one branch?</t>
  </si>
  <si>
    <t>long unbranched hair</t>
  </si>
  <si>
    <t>istf_1</t>
  </si>
  <si>
    <t>RESOLVED: correct, measured at 350x. DIFFERENT morphotype - never compare with the mature branch lengths.</t>
  </si>
  <si>
    <t>ist_circle_1</t>
  </si>
  <si>
    <t>face not recorded</t>
  </si>
  <si>
    <t>ithf_circle_2</t>
  </si>
  <si>
    <t>ithf_1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</si>
</sst>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3" max="3" width="16.63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4</v>
      </c>
      <c r="B2" s="3"/>
      <c r="C2" s="3"/>
    </row>
    <row r="3">
      <c r="A3" s="4" t="s">
        <v>5</v>
      </c>
      <c r="B3" s="3">
        <f t="shared" ref="B3:C3" si="1">COUNTIF($A$38:$A$99,B$1)</f>
        <v>27</v>
      </c>
      <c r="C3" s="3">
        <f t="shared" si="1"/>
        <v>35</v>
      </c>
      <c r="E3" s="2" t="s">
        <v>6</v>
      </c>
    </row>
    <row r="4">
      <c r="A4" s="4" t="s">
        <v>7</v>
      </c>
      <c r="B4" s="3">
        <f>IFERROR(__xludf.DUMMYFUNCTION("IFERROR(COUNTA(UNIQUE(FILTER($B$38:$B$99,$A$38:$A$99=B$1))),0)"),1.0)</f>
        <v>1</v>
      </c>
      <c r="C4" s="3">
        <f>IFERROR(__xludf.DUMMYFUNCTION("IFERROR(COUNTA(UNIQUE(FILTER($B$38:$B$99,$A$38:$A$99=C$1))),0)"),1.0)</f>
        <v>1</v>
      </c>
      <c r="E4" s="2" t="s">
        <v>8</v>
      </c>
    </row>
    <row r="5">
      <c r="A5" s="4" t="s">
        <v>9</v>
      </c>
      <c r="B5" s="3">
        <f t="shared" ref="B5:C5" si="2">IFERROR(B3/(4.9152*B4),"")</f>
        <v>5.493164063</v>
      </c>
      <c r="C5" s="3">
        <f t="shared" si="2"/>
        <v>7.120768229</v>
      </c>
      <c r="E5" s="2" t="s">
        <v>10</v>
      </c>
    </row>
    <row r="6">
      <c r="A6" s="4" t="s">
        <v>11</v>
      </c>
      <c r="B6" s="3">
        <f>IFERROR(__xludf.DUMMYFUNCTION("IFERROR(AVERAGE(FILTER($E$38:$E$99,$A$38:$A$99=B$1)),"""")"),322.5027111294147)</f>
        <v>322.5027111</v>
      </c>
      <c r="C6" s="3">
        <f>IFERROR(__xludf.DUMMYFUNCTION("IFERROR(AVERAGE(FILTER($E$38:$E$99,$A$38:$A$99=C$1)),"""")"),331.6476437612033)</f>
        <v>331.6476438</v>
      </c>
      <c r="E6" s="2" t="s">
        <v>12</v>
      </c>
    </row>
    <row r="7">
      <c r="A7" s="4" t="s">
        <v>13</v>
      </c>
      <c r="B7" s="3">
        <f>IFERROR(__xludf.DUMMYFUNCTION("IFERROR(STDEV(FILTER($E$38:$E$99,$A$38:$A$99=B$1)),"""")"),66.86598396701014)</f>
        <v>66.86598397</v>
      </c>
      <c r="C7" s="3">
        <f>IFERROR(__xludf.DUMMYFUNCTION("IFERROR(STDEV(FILTER($E$38:$E$99,$A$38:$A$99=C$1)),"""")"),42.0343338784151)</f>
        <v>42.03433388</v>
      </c>
    </row>
    <row r="8">
      <c r="A8" s="4" t="s">
        <v>14</v>
      </c>
      <c r="B8" s="3">
        <f t="shared" ref="B8:C8" si="3">IFERROR(B7/B6,"")</f>
        <v>0.2073346414</v>
      </c>
      <c r="C8" s="3">
        <f t="shared" si="3"/>
        <v>0.1267439545</v>
      </c>
      <c r="E8" s="2" t="s">
        <v>15</v>
      </c>
    </row>
    <row r="9">
      <c r="A9" s="4" t="s">
        <v>16</v>
      </c>
      <c r="B9" s="3">
        <f t="shared" ref="B9:C9" si="4">IFERROR(0.5*SQRT(4915200*B4/B3)+0.0514*8960*B4/B3+0.041*8960*B4/B3^1.5,"")</f>
        <v>233.0089802</v>
      </c>
      <c r="C9" s="3">
        <f t="shared" si="4"/>
        <v>202.3053618</v>
      </c>
      <c r="E9" s="2" t="s">
        <v>17</v>
      </c>
    </row>
    <row r="10">
      <c r="A10" s="4" t="s">
        <v>18</v>
      </c>
      <c r="B10" s="3">
        <f t="shared" ref="B10:C10" si="5">IFERROR(B6/B9,"")</f>
        <v>1.384078463</v>
      </c>
      <c r="C10" s="3">
        <f t="shared" si="5"/>
        <v>1.639341838</v>
      </c>
      <c r="E10" s="2" t="s">
        <v>19</v>
      </c>
    </row>
    <row r="11">
      <c r="A11" s="3"/>
      <c r="B11" s="3"/>
      <c r="C11" s="3"/>
    </row>
    <row r="12">
      <c r="A12" s="1" t="s">
        <v>20</v>
      </c>
      <c r="B12" s="3"/>
      <c r="C12" s="3"/>
    </row>
    <row r="13">
      <c r="A13" s="4" t="s">
        <v>21</v>
      </c>
      <c r="B13" s="3">
        <f t="shared" ref="B13:C13" si="6">COUNTIF($A$104:$A$155,B$1)</f>
        <v>22</v>
      </c>
      <c r="C13" s="3">
        <f t="shared" si="6"/>
        <v>30</v>
      </c>
    </row>
    <row r="14">
      <c r="A14" s="4" t="s">
        <v>22</v>
      </c>
      <c r="B14" s="3">
        <f>IFERROR(__xludf.DUMMYFUNCTION("IFERROR(AVERAGE(FILTER($C$104:$C$155,$A$104:$A$155=B$1)),"""")"),50502.9239090909)</f>
        <v>50502.92391</v>
      </c>
      <c r="C14" s="3">
        <f>IFERROR(__xludf.DUMMYFUNCTION("IFERROR(AVERAGE(FILTER($C$104:$C$155,$A$104:$A$155=C$1)),"""")"),37045.731499999994)</f>
        <v>37045.7315</v>
      </c>
      <c r="E14" s="2" t="s">
        <v>23</v>
      </c>
    </row>
    <row r="15">
      <c r="A15" s="4" t="s">
        <v>24</v>
      </c>
      <c r="B15" s="3">
        <f>IFERROR(__xludf.DUMMYFUNCTION("IFERROR(STDEV(FILTER($C$104:$C$155,$A$104:$A$155=B$1)),"""")"),12410.371088892187)</f>
        <v>12410.37109</v>
      </c>
      <c r="C15" s="3">
        <f>IFERROR(__xludf.DUMMYFUNCTION("IFERROR(STDEV(FILTER($C$104:$C$155,$A$104:$A$155=C$1)),"""")"),8901.812842207366)</f>
        <v>8901.812842</v>
      </c>
      <c r="E15" s="2" t="s">
        <v>25</v>
      </c>
    </row>
    <row r="16">
      <c r="A16" s="4" t="s">
        <v>26</v>
      </c>
      <c r="B16" s="3">
        <f>IFERROR(__xludf.DUMMYFUNCTION("IFERROR(MEDIAN(FILTER($C$104:$C$155,$A$104:$A$155=B$1)),"""")"),47439.372)</f>
        <v>47439.372</v>
      </c>
      <c r="C16" s="3">
        <f>IFERROR(__xludf.DUMMYFUNCTION("IFERROR(MEDIAN(FILTER($C$104:$C$155,$A$104:$A$155=C$1)),"""")"),35853.5045)</f>
        <v>35853.5045</v>
      </c>
    </row>
    <row r="17">
      <c r="A17" s="4" t="s">
        <v>27</v>
      </c>
      <c r="B17" s="3">
        <f t="shared" ref="B17:C17" si="7">IFERROR(2*SQRT(B14/PI()),"")</f>
        <v>253.5790209</v>
      </c>
      <c r="C17" s="3">
        <f t="shared" si="7"/>
        <v>217.1821593</v>
      </c>
      <c r="E17" s="2" t="s">
        <v>28</v>
      </c>
    </row>
    <row r="18">
      <c r="A18" s="4" t="s">
        <v>29</v>
      </c>
      <c r="B18" s="3">
        <f t="shared" ref="B18:C18" si="8">IFERROR(B14*B5/10000,"")</f>
        <v>27.74208467</v>
      </c>
      <c r="C18" s="3">
        <f t="shared" si="8"/>
        <v>26.37940679</v>
      </c>
      <c r="E18" s="2" t="s">
        <v>30</v>
      </c>
    </row>
    <row r="19">
      <c r="A19" s="3"/>
      <c r="B19" s="3"/>
      <c r="C19" s="3"/>
    </row>
    <row r="20">
      <c r="A20" s="1" t="s">
        <v>31</v>
      </c>
      <c r="B20" s="3"/>
      <c r="C20" s="3"/>
    </row>
    <row r="21">
      <c r="A21" s="4" t="s">
        <v>32</v>
      </c>
      <c r="B21" s="3">
        <f t="shared" ref="B21:C21" si="9">COUNTIF($A$159:$A$190,B$1)</f>
        <v>13</v>
      </c>
      <c r="C21" s="3">
        <f t="shared" si="9"/>
        <v>9</v>
      </c>
    </row>
    <row r="22">
      <c r="A22" s="4" t="s">
        <v>33</v>
      </c>
      <c r="B22" s="3">
        <f>IFERROR(__xludf.DUMMYFUNCTION("IFERROR(AVERAGE(FILTER($D$159:$D$190,$A$159:$A$190=B$1)),"""")"),428.6947692307692)</f>
        <v>428.6947692</v>
      </c>
      <c r="C22" s="3">
        <f>IFERROR(__xludf.DUMMYFUNCTION("IFERROR(AVERAGE(FILTER($D$159:$D$190,$A$159:$A$190=C$1)),"""")"),885.5665555555556)</f>
        <v>885.5665556</v>
      </c>
      <c r="E22" s="2" t="s">
        <v>34</v>
      </c>
    </row>
    <row r="23">
      <c r="A23" s="4" t="s">
        <v>35</v>
      </c>
      <c r="B23" s="3">
        <f>IFERROR(__xludf.DUMMYFUNCTION("IFERROR(STDEV(FILTER($D$159:$D$190,$A$159:$A$190=B$1)),"""")"),101.99270395078418)</f>
        <v>101.992704</v>
      </c>
      <c r="C23" s="3">
        <f>IFERROR(__xludf.DUMMYFUNCTION("IFERROR(STDEV(FILTER($D$159:$D$190,$A$159:$A$190=C$1)),"""")"),274.980328335097)</f>
        <v>274.9803283</v>
      </c>
    </row>
    <row r="24">
      <c r="A24" s="4" t="s">
        <v>27</v>
      </c>
      <c r="B24" s="3">
        <f t="shared" ref="B24:C24" si="10">IFERROR(2*SQRT(B22/PI()),"")</f>
        <v>23.36302919</v>
      </c>
      <c r="C24" s="3">
        <f t="shared" si="10"/>
        <v>33.57883795</v>
      </c>
      <c r="E24" s="2" t="s">
        <v>36</v>
      </c>
    </row>
    <row r="25">
      <c r="A25" s="3"/>
      <c r="B25" s="3"/>
      <c r="C25" s="3"/>
    </row>
    <row r="26">
      <c r="A26" s="1" t="s">
        <v>37</v>
      </c>
      <c r="B26" s="3"/>
      <c r="C26" s="3"/>
    </row>
    <row r="27">
      <c r="A27" s="4" t="s">
        <v>38</v>
      </c>
      <c r="B27" s="4">
        <v>145.0</v>
      </c>
      <c r="C27" s="4">
        <v>89.0</v>
      </c>
      <c r="E27" s="2" t="s">
        <v>39</v>
      </c>
    </row>
    <row r="28">
      <c r="A28" s="4" t="s">
        <v>40</v>
      </c>
      <c r="B28" s="3">
        <f t="shared" ref="B28:C28" si="11">IFERROR(B27/4.9152,"")</f>
        <v>29.50032552</v>
      </c>
      <c r="C28" s="3">
        <f t="shared" si="11"/>
        <v>18.10709635</v>
      </c>
      <c r="E28" s="2" t="s">
        <v>41</v>
      </c>
    </row>
    <row r="29">
      <c r="A29" s="4" t="s">
        <v>42</v>
      </c>
      <c r="B29" s="4">
        <v>75.0</v>
      </c>
      <c r="C29" s="4">
        <v>40.0</v>
      </c>
      <c r="E29" s="2" t="s">
        <v>43</v>
      </c>
    </row>
    <row r="30">
      <c r="A30" s="4" t="s">
        <v>44</v>
      </c>
      <c r="B30" s="3">
        <f t="shared" ref="B30:C30" si="12">IFERROR(B29/4.9152,"")</f>
        <v>15.25878906</v>
      </c>
      <c r="C30" s="3">
        <f t="shared" si="12"/>
        <v>8.138020833</v>
      </c>
      <c r="E30" s="2" t="s">
        <v>45</v>
      </c>
    </row>
    <row r="36">
      <c r="A36" s="2" t="s">
        <v>46</v>
      </c>
    </row>
    <row r="37">
      <c r="A37" s="2" t="s">
        <v>47</v>
      </c>
      <c r="B37" s="2" t="s">
        <v>48</v>
      </c>
      <c r="C37" s="2" t="s">
        <v>49</v>
      </c>
      <c r="D37" s="2" t="s">
        <v>50</v>
      </c>
      <c r="E37" s="2" t="s">
        <v>51</v>
      </c>
    </row>
    <row r="38">
      <c r="A38" s="2" t="s">
        <v>1</v>
      </c>
      <c r="B38" s="2" t="s">
        <v>52</v>
      </c>
      <c r="C38" s="2">
        <v>213.682</v>
      </c>
      <c r="D38" s="2">
        <v>447.522</v>
      </c>
      <c r="E38" s="5">
        <f>IFERROR(__xludf.DUMMYFUNCTION("MIN(FILTER(SQRT(($C$38:$C$99-$C38)^2+($D$38:$D$99-$D38)^2),$B$38:$B$99=$B38,ROW($B$38:$B$99)&lt;&gt;ROW($B38)))"),414.936079149548)</f>
        <v>414.9360791</v>
      </c>
    </row>
    <row r="39">
      <c r="A39" s="2" t="s">
        <v>1</v>
      </c>
      <c r="B39" s="2" t="s">
        <v>52</v>
      </c>
      <c r="C39" s="2">
        <v>511.778</v>
      </c>
      <c r="D39" s="2">
        <v>148.922</v>
      </c>
      <c r="E39" s="5">
        <f>IFERROR(__xludf.DUMMYFUNCTION("MIN(FILTER(SQRT(($C$38:$C$99-$C39)^2+($D$38:$D$99-$D39)^2),$B$38:$B$99=$B39,ROW($B$38:$B$99)&lt;&gt;ROW($B39)))"),421.9279384160286)</f>
        <v>421.9279384</v>
      </c>
    </row>
    <row r="40">
      <c r="A40" s="2" t="s">
        <v>1</v>
      </c>
      <c r="B40" s="2" t="s">
        <v>52</v>
      </c>
      <c r="C40" s="2">
        <v>548.064</v>
      </c>
      <c r="D40" s="2">
        <v>693.206</v>
      </c>
      <c r="E40" s="5">
        <f>IFERROR(__xludf.DUMMYFUNCTION("MIN(FILTER(SQRT(($C$38:$C$99-$C40)^2+($D$38:$D$99-$D40)^2),$B$38:$B$99=$B40,ROW($B$38:$B$99)&lt;&gt;ROW($B40)))"),374.14887348487366)</f>
        <v>374.1488735</v>
      </c>
    </row>
    <row r="41">
      <c r="A41" s="2" t="s">
        <v>1</v>
      </c>
      <c r="B41" s="2" t="s">
        <v>52</v>
      </c>
      <c r="C41" s="2">
        <v>1023.808</v>
      </c>
      <c r="D41" s="2">
        <v>257.779</v>
      </c>
      <c r="E41" s="5">
        <f>IFERROR(__xludf.DUMMYFUNCTION("MIN(FILTER(SQRT(($C$38:$C$99-$C41)^2+($D$38:$D$99-$D41)^2),$B$38:$B$99=$B41,ROW($B$38:$B$99)&lt;&gt;ROW($B41)))"),312.01035743224935)</f>
        <v>312.0103574</v>
      </c>
    </row>
    <row r="42">
      <c r="A42" s="2" t="s">
        <v>1</v>
      </c>
      <c r="B42" s="2" t="s">
        <v>52</v>
      </c>
      <c r="C42" s="2">
        <v>1156.856</v>
      </c>
      <c r="D42" s="2">
        <v>540.0</v>
      </c>
      <c r="E42" s="5">
        <f>IFERROR(__xludf.DUMMYFUNCTION("MIN(FILTER(SQRT(($C$38:$C$99-$C42)^2+($D$38:$D$99-$D42)^2),$B$38:$B$99=$B42,ROW($B$38:$B$99)&lt;&gt;ROW($B42)))"),312.01035743224935)</f>
        <v>312.0103574</v>
      </c>
    </row>
    <row r="43">
      <c r="A43" s="2" t="s">
        <v>1</v>
      </c>
      <c r="B43" s="2" t="s">
        <v>52</v>
      </c>
      <c r="C43" s="2">
        <v>773.841</v>
      </c>
      <c r="D43" s="2">
        <v>991.555</v>
      </c>
      <c r="E43" s="5">
        <f>IFERROR(__xludf.DUMMYFUNCTION("MIN(FILTER(SQRT(($C$38:$C$99-$C43)^2+($D$38:$D$99-$D43)^2),$B$38:$B$99=$B43,ROW($B$38:$B$99)&lt;&gt;ROW($B43)))"),374.14887348487366)</f>
        <v>374.1488735</v>
      </c>
    </row>
    <row r="44">
      <c r="A44" s="2" t="s">
        <v>1</v>
      </c>
      <c r="B44" s="2" t="s">
        <v>52</v>
      </c>
      <c r="C44" s="2">
        <v>1172.983</v>
      </c>
      <c r="D44" s="2">
        <v>1241.522</v>
      </c>
      <c r="E44" s="5">
        <f>IFERROR(__xludf.DUMMYFUNCTION("MIN(FILTER(SQRT(($C$38:$C$99-$C44)^2+($D$38:$D$99-$D44)^2),$B$38:$B$99=$B44,ROW($B$38:$B$99)&lt;&gt;ROW($B44)))"),361.5542791573626)</f>
        <v>361.5542792</v>
      </c>
    </row>
    <row r="45">
      <c r="A45" s="2" t="s">
        <v>1</v>
      </c>
      <c r="B45" s="2" t="s">
        <v>52</v>
      </c>
      <c r="C45" s="2">
        <v>644.825</v>
      </c>
      <c r="D45" s="2">
        <v>1551.965</v>
      </c>
      <c r="E45" s="5">
        <f>IFERROR(__xludf.DUMMYFUNCTION("MIN(FILTER(SQRT(($C$38:$C$99-$C45)^2+($D$38:$D$99-$D45)^2),$B$38:$B$99=$B45,ROW($B$38:$B$99)&lt;&gt;ROW($B45)))"),376.87594014476446)</f>
        <v>376.8759401</v>
      </c>
    </row>
    <row r="46">
      <c r="A46" s="2" t="s">
        <v>1</v>
      </c>
      <c r="B46" s="2" t="s">
        <v>52</v>
      </c>
      <c r="C46" s="2">
        <v>306.16</v>
      </c>
      <c r="D46" s="2">
        <v>1152.824</v>
      </c>
      <c r="E46" s="5">
        <f>IFERROR(__xludf.DUMMYFUNCTION("MIN(FILTER(SQRT(($C$38:$C$99-$C46)^2+($D$38:$D$99-$D46)^2),$B$38:$B$99=$B46,ROW($B$38:$B$99)&lt;&gt;ROW($B46)))"),272.55287255503293)</f>
        <v>272.5528726</v>
      </c>
    </row>
    <row r="47">
      <c r="A47" s="2" t="s">
        <v>1</v>
      </c>
      <c r="B47" s="2" t="s">
        <v>52</v>
      </c>
      <c r="C47" s="2">
        <v>1217.332</v>
      </c>
      <c r="D47" s="2">
        <v>1600.346</v>
      </c>
      <c r="E47" s="5">
        <f>IFERROR(__xludf.DUMMYFUNCTION("MIN(FILTER(SQRT(($C$38:$C$99-$C47)^2+($D$38:$D$99-$D47)^2),$B$38:$B$99=$B47,ROW($B$38:$B$99)&lt;&gt;ROW($B47)))"),361.5542791573626)</f>
        <v>361.5542792</v>
      </c>
    </row>
    <row r="48">
      <c r="A48" s="2" t="s">
        <v>1</v>
      </c>
      <c r="B48" s="2" t="s">
        <v>52</v>
      </c>
      <c r="C48" s="2">
        <v>1551.965</v>
      </c>
      <c r="D48" s="2">
        <v>1342.315</v>
      </c>
      <c r="E48" s="5">
        <f>IFERROR(__xludf.DUMMYFUNCTION("MIN(FILTER(SQRT(($C$38:$C$99-$C48)^2+($D$38:$D$99-$D48)^2),$B$38:$B$99=$B48,ROW($B$38:$B$99)&lt;&gt;ROW($B48)))"),392.15632746775873)</f>
        <v>392.1563275</v>
      </c>
    </row>
    <row r="49">
      <c r="A49" s="2" t="s">
        <v>1</v>
      </c>
      <c r="B49" s="2" t="s">
        <v>52</v>
      </c>
      <c r="C49" s="2">
        <v>1350.379</v>
      </c>
      <c r="D49" s="2">
        <v>842.38</v>
      </c>
      <c r="E49" s="5">
        <f>IFERROR(__xludf.DUMMYFUNCTION("MIN(FILTER(SQRT(($C$38:$C$99-$C49)^2+($D$38:$D$99-$D49)^2),$B$38:$B$99=$B49,ROW($B$38:$B$99)&lt;&gt;ROW($B49)))"),241.90360000008275)</f>
        <v>241.9036</v>
      </c>
    </row>
    <row r="50">
      <c r="A50" s="2" t="s">
        <v>1</v>
      </c>
      <c r="B50" s="2" t="s">
        <v>52</v>
      </c>
      <c r="C50" s="2">
        <v>1777.743</v>
      </c>
      <c r="D50" s="2">
        <v>854.476</v>
      </c>
      <c r="E50" s="5">
        <f>IFERROR(__xludf.DUMMYFUNCTION("MIN(FILTER(SQRT(($C$38:$C$99-$C50)^2+($D$38:$D$99-$D50)^2),$B$38:$B$99=$B50,ROW($B$38:$B$99)&lt;&gt;ROW($B50)))"),281.7896412663175)</f>
        <v>281.7896413</v>
      </c>
    </row>
    <row r="51">
      <c r="A51" s="2" t="s">
        <v>1</v>
      </c>
      <c r="B51" s="2" t="s">
        <v>52</v>
      </c>
      <c r="C51" s="2">
        <v>1624.537</v>
      </c>
      <c r="D51" s="2">
        <v>515.81</v>
      </c>
      <c r="E51" s="5">
        <f>IFERROR(__xludf.DUMMYFUNCTION("MIN(FILTER(SQRT(($C$38:$C$99-$C51)^2+($D$38:$D$99-$D51)^2),$B$38:$B$99=$B51,ROW($B$38:$B$99)&lt;&gt;ROW($B51)))"),198.53997685352954)</f>
        <v>198.5399769</v>
      </c>
    </row>
    <row r="52">
      <c r="A52" s="2" t="s">
        <v>1</v>
      </c>
      <c r="B52" s="2" t="s">
        <v>52</v>
      </c>
      <c r="C52" s="2">
        <v>1616.473</v>
      </c>
      <c r="D52" s="2">
        <v>229.557</v>
      </c>
      <c r="E52" s="5">
        <f>IFERROR(__xludf.DUMMYFUNCTION("MIN(FILTER(SQRT(($C$38:$C$99-$C52)^2+($D$38:$D$99-$D52)^2),$B$38:$B$99=$B52,ROW($B$38:$B$99)&lt;&gt;ROW($B52)))"),286.3665624771858)</f>
        <v>286.3665625</v>
      </c>
    </row>
    <row r="53">
      <c r="A53" s="2" t="s">
        <v>1</v>
      </c>
      <c r="B53" s="2" t="s">
        <v>52</v>
      </c>
      <c r="C53" s="2">
        <v>2007.551</v>
      </c>
      <c r="D53" s="2">
        <v>427.112</v>
      </c>
      <c r="E53" s="5">
        <f>IFERROR(__xludf.DUMMYFUNCTION("MIN(FILTER(SQRT(($C$38:$C$99-$C53)^2+($D$38:$D$99-$D53)^2),$B$38:$B$99=$B53,ROW($B$38:$B$99)&lt;&gt;ROW($B53)))"),376.14132984823664)</f>
        <v>376.1413298</v>
      </c>
    </row>
    <row r="54">
      <c r="A54" s="2" t="s">
        <v>1</v>
      </c>
      <c r="B54" s="2" t="s">
        <v>52</v>
      </c>
      <c r="C54" s="2">
        <v>2201.075</v>
      </c>
      <c r="D54" s="2">
        <v>749.65</v>
      </c>
      <c r="E54" s="5">
        <f>IFERROR(__xludf.DUMMYFUNCTION("MIN(FILTER(SQRT(($C$38:$C$99-$C54)^2+($D$38:$D$99-$D54)^2),$B$38:$B$99=$B54,ROW($B$38:$B$99)&lt;&gt;ROW($B54)))"),287.4998743669292)</f>
        <v>287.4998744</v>
      </c>
    </row>
    <row r="55">
      <c r="A55" s="2" t="s">
        <v>1</v>
      </c>
      <c r="B55" s="2" t="s">
        <v>52</v>
      </c>
      <c r="C55" s="2">
        <v>2309.931</v>
      </c>
      <c r="D55" s="2">
        <v>1015.745</v>
      </c>
      <c r="E55" s="5">
        <f>IFERROR(__xludf.DUMMYFUNCTION("MIN(FILTER(SQRT(($C$38:$C$99-$C55)^2+($D$38:$D$99-$D55)^2),$B$38:$B$99=$B55,ROW($B$38:$B$99)&lt;&gt;ROW($B55)))"),287.4998743669292)</f>
        <v>287.4998744</v>
      </c>
    </row>
    <row r="56">
      <c r="A56" s="2" t="s">
        <v>1</v>
      </c>
      <c r="B56" s="2" t="s">
        <v>52</v>
      </c>
      <c r="C56" s="2">
        <v>2447.01</v>
      </c>
      <c r="D56" s="2">
        <v>1310.061</v>
      </c>
      <c r="E56" s="5">
        <f>IFERROR(__xludf.DUMMYFUNCTION("MIN(FILTER(SQRT(($C$38:$C$99-$C56)^2+($D$38:$D$99-$D56)^2),$B$38:$B$99=$B56,ROW($B$38:$B$99)&lt;&gt;ROW($B56)))"),324.6730048787549)</f>
        <v>324.6730049</v>
      </c>
    </row>
    <row r="57">
      <c r="A57" s="2" t="s">
        <v>1</v>
      </c>
      <c r="B57" s="2" t="s">
        <v>52</v>
      </c>
      <c r="C57" s="2">
        <v>2213.17</v>
      </c>
      <c r="D57" s="2">
        <v>1648.727</v>
      </c>
      <c r="E57" s="5">
        <f>IFERROR(__xludf.DUMMYFUNCTION("MIN(FILTER(SQRT(($C$38:$C$99-$C57)^2+($D$38:$D$99-$D57)^2),$B$38:$B$99=$B57,ROW($B$38:$B$99)&lt;&gt;ROW($B57)))"),258.81754059761886)</f>
        <v>258.8175406</v>
      </c>
    </row>
    <row r="58">
      <c r="A58" s="2" t="s">
        <v>1</v>
      </c>
      <c r="B58" s="2" t="s">
        <v>52</v>
      </c>
      <c r="C58" s="2">
        <v>2459.106</v>
      </c>
      <c r="D58" s="2">
        <v>1729.362</v>
      </c>
      <c r="E58" s="5">
        <f>IFERROR(__xludf.DUMMYFUNCTION("MIN(FILTER(SQRT(($C$38:$C$99-$C58)^2+($D$38:$D$99-$D58)^2),$B$38:$B$99=$B58,ROW($B$38:$B$99)&lt;&gt;ROW($B58)))"),258.81754059761886)</f>
        <v>258.8175406</v>
      </c>
    </row>
    <row r="59">
      <c r="A59" s="2" t="s">
        <v>1</v>
      </c>
      <c r="B59" s="2" t="s">
        <v>52</v>
      </c>
      <c r="C59" s="2">
        <v>1914.822</v>
      </c>
      <c r="D59" s="2">
        <v>1580.188</v>
      </c>
      <c r="E59" s="5">
        <f>IFERROR(__xludf.DUMMYFUNCTION("MIN(FILTER(SQRT(($C$38:$C$99-$C59)^2+($D$38:$D$99-$D59)^2),$B$38:$B$99=$B59,ROW($B$38:$B$99)&lt;&gt;ROW($B59)))"),306.1194597293679)</f>
        <v>306.1194597</v>
      </c>
    </row>
    <row r="60">
      <c r="A60" s="2" t="s">
        <v>1</v>
      </c>
      <c r="B60" s="2" t="s">
        <v>52</v>
      </c>
      <c r="C60" s="2">
        <v>1947.075</v>
      </c>
      <c r="D60" s="2">
        <v>1120.57</v>
      </c>
      <c r="E60" s="5">
        <f>IFERROR(__xludf.DUMMYFUNCTION("MIN(FILTER(SQRT(($C$38:$C$99-$C60)^2+($D$38:$D$99-$D60)^2),$B$38:$B$99=$B60,ROW($B$38:$B$99)&lt;&gt;ROW($B60)))"),315.4034607609752)</f>
        <v>315.4034608</v>
      </c>
    </row>
    <row r="61">
      <c r="A61" s="2" t="s">
        <v>1</v>
      </c>
      <c r="B61" s="2" t="s">
        <v>52</v>
      </c>
      <c r="C61" s="2">
        <v>858.507</v>
      </c>
      <c r="D61" s="2">
        <v>1862.409</v>
      </c>
      <c r="E61" s="5">
        <f>IFERROR(__xludf.DUMMYFUNCTION("MIN(FILTER(SQRT(($C$38:$C$99-$C61)^2+($D$38:$D$99-$D61)^2),$B$38:$B$99=$B61,ROW($B$38:$B$99)&lt;&gt;ROW($B61)))"),376.87594014476446)</f>
        <v>376.8759401</v>
      </c>
    </row>
    <row r="62">
      <c r="A62" s="2" t="s">
        <v>1</v>
      </c>
      <c r="B62" s="2" t="s">
        <v>52</v>
      </c>
      <c r="C62" s="2">
        <v>185.208</v>
      </c>
      <c r="D62" s="2">
        <v>1600.346</v>
      </c>
      <c r="E62" s="5">
        <f>IFERROR(__xludf.DUMMYFUNCTION("MIN(FILTER(SQRT(($C$38:$C$99-$C62)^2+($D$38:$D$99-$D62)^2),$B$38:$B$99=$B62,ROW($B$38:$B$99)&lt;&gt;ROW($B62)))"),462.1563673152195)</f>
        <v>462.1563673</v>
      </c>
    </row>
    <row r="63">
      <c r="A63" s="2" t="s">
        <v>1</v>
      </c>
      <c r="B63" s="2" t="s">
        <v>52</v>
      </c>
      <c r="C63" s="2">
        <v>68.287</v>
      </c>
      <c r="D63" s="2">
        <v>1019.777</v>
      </c>
      <c r="E63" s="5">
        <f>IFERROR(__xludf.DUMMYFUNCTION("MIN(FILTER(SQRT(($C$38:$C$99-$C63)^2+($D$38:$D$99-$D63)^2),$B$38:$B$99=$B63,ROW($B$38:$B$99)&lt;&gt;ROW($B63)))"),272.55287255503293)</f>
        <v>272.5528726</v>
      </c>
    </row>
    <row r="64">
      <c r="A64" s="2" t="s">
        <v>1</v>
      </c>
      <c r="B64" s="2" t="s">
        <v>52</v>
      </c>
      <c r="C64" s="2">
        <v>1543.902</v>
      </c>
      <c r="D64" s="2">
        <v>697.238</v>
      </c>
      <c r="E64" s="5">
        <f>IFERROR(__xludf.DUMMYFUNCTION("MIN(FILTER(SQRT(($C$38:$C$99-$C64)^2+($D$38:$D$99-$D64)^2),$B$38:$B$99=$B64,ROW($B$38:$B$99)&lt;&gt;ROW($B64)))"),198.53997685352954)</f>
        <v>198.5399769</v>
      </c>
    </row>
    <row r="65">
      <c r="A65" s="2" t="s">
        <v>2</v>
      </c>
      <c r="B65" s="2" t="s">
        <v>53</v>
      </c>
      <c r="C65" s="2">
        <v>479.839</v>
      </c>
      <c r="D65" s="2">
        <v>137.097</v>
      </c>
      <c r="E65" s="5">
        <f>IFERROR(__xludf.DUMMYFUNCTION("MIN(FILTER(SQRT(($C$38:$C$99-$C65)^2+($D$38:$D$99-$D65)^2),$B$38:$B$99=$B65,ROW($B$38:$B$99)&lt;&gt;ROW($B65)))"),382.4701077639925)</f>
        <v>382.4701078</v>
      </c>
    </row>
    <row r="66">
      <c r="A66" s="2" t="s">
        <v>2</v>
      </c>
      <c r="B66" s="2" t="s">
        <v>53</v>
      </c>
      <c r="C66" s="2">
        <v>140.877</v>
      </c>
      <c r="D66" s="2">
        <v>314.264</v>
      </c>
      <c r="E66" s="5">
        <f>IFERROR(__xludf.DUMMYFUNCTION("MIN(FILTER(SQRT(($C$38:$C$99-$C66)^2+($D$38:$D$99-$D66)^2),$B$38:$B$99=$B66,ROW($B$38:$B$99)&lt;&gt;ROW($B66)))"),341.1017567075843)</f>
        <v>341.1017567</v>
      </c>
    </row>
    <row r="67">
      <c r="A67" s="2" t="s">
        <v>2</v>
      </c>
      <c r="B67" s="2" t="s">
        <v>53</v>
      </c>
      <c r="C67" s="2">
        <v>527.974</v>
      </c>
      <c r="D67" s="2">
        <v>536.038</v>
      </c>
      <c r="E67" s="5">
        <f>IFERROR(__xludf.DUMMYFUNCTION("MIN(FILTER(SQRT(($C$38:$C$99-$C67)^2+($D$38:$D$99-$D67)^2),$B$38:$B$99=$B67,ROW($B$38:$B$99)&lt;&gt;ROW($B67)))"),364.6240651643827)</f>
        <v>364.6240652</v>
      </c>
    </row>
    <row r="68">
      <c r="A68" s="2" t="s">
        <v>2</v>
      </c>
      <c r="B68" s="2" t="s">
        <v>53</v>
      </c>
      <c r="C68" s="2">
        <v>927.167</v>
      </c>
      <c r="D68" s="2">
        <v>346.522</v>
      </c>
      <c r="E68" s="5">
        <f>IFERROR(__xludf.DUMMYFUNCTION("MIN(FILTER(SQRT(($C$38:$C$99-$C68)^2+($D$38:$D$99-$D68)^2),$B$38:$B$99=$B68,ROW($B$38:$B$99)&lt;&gt;ROW($B68)))"),393.44994439064294)</f>
        <v>393.4499444</v>
      </c>
    </row>
    <row r="69">
      <c r="A69" s="2" t="s">
        <v>2</v>
      </c>
      <c r="B69" s="2" t="s">
        <v>53</v>
      </c>
      <c r="C69" s="2">
        <v>1286.038</v>
      </c>
      <c r="D69" s="2">
        <v>507.812</v>
      </c>
      <c r="E69" s="5">
        <f>IFERROR(__xludf.DUMMYFUNCTION("MIN(FILTER(SQRT(($C$38:$C$99-$C69)^2+($D$38:$D$99-$D69)^2),$B$38:$B$99=$B69,ROW($B$38:$B$99)&lt;&gt;ROW($B69)))"),388.3128244547172)</f>
        <v>388.3128245</v>
      </c>
    </row>
    <row r="70">
      <c r="A70" s="2" t="s">
        <v>2</v>
      </c>
      <c r="B70" s="2" t="s">
        <v>53</v>
      </c>
      <c r="C70" s="2">
        <v>1471.522</v>
      </c>
      <c r="D70" s="2">
        <v>136.845</v>
      </c>
      <c r="E70" s="5">
        <f>IFERROR(__xludf.DUMMYFUNCTION("MIN(FILTER(SQRT(($C$38:$C$99-$C70)^2+($D$38:$D$99-$D70)^2),$B$38:$B$99=$B70,ROW($B$38:$B$99)&lt;&gt;ROW($B70)))"),259.19653831407555)</f>
        <v>259.1965383</v>
      </c>
    </row>
    <row r="71">
      <c r="A71" s="2" t="s">
        <v>2</v>
      </c>
      <c r="B71" s="2" t="s">
        <v>53</v>
      </c>
      <c r="C71" s="2">
        <v>1729.587</v>
      </c>
      <c r="D71" s="2">
        <v>161.038</v>
      </c>
      <c r="E71" s="5">
        <f>IFERROR(__xludf.DUMMYFUNCTION("MIN(FILTER(SQRT(($C$38:$C$99-$C71)^2+($D$38:$D$99-$D71)^2),$B$38:$B$99=$B71,ROW($B$38:$B$99)&lt;&gt;ROW($B71)))"),259.19653831407555)</f>
        <v>259.1965383</v>
      </c>
    </row>
    <row r="72">
      <c r="A72" s="2" t="s">
        <v>2</v>
      </c>
      <c r="B72" s="2" t="s">
        <v>53</v>
      </c>
      <c r="C72" s="2">
        <v>1979.587</v>
      </c>
      <c r="D72" s="2">
        <v>342.49</v>
      </c>
      <c r="E72" s="5">
        <f>IFERROR(__xludf.DUMMYFUNCTION("MIN(FILTER(SQRT(($C$38:$C$99-$C72)^2+($D$38:$D$99-$D72)^2),$B$38:$B$99=$B72,ROW($B$38:$B$99)&lt;&gt;ROW($B72)))"),279.9442062000926)</f>
        <v>279.9442062</v>
      </c>
    </row>
    <row r="73">
      <c r="A73" s="2" t="s">
        <v>2</v>
      </c>
      <c r="B73" s="2" t="s">
        <v>53</v>
      </c>
      <c r="C73" s="2">
        <v>2189.264</v>
      </c>
      <c r="D73" s="2">
        <v>60.232</v>
      </c>
      <c r="E73" s="5">
        <f>IFERROR(__xludf.DUMMYFUNCTION("MIN(FILTER(SQRT(($C$38:$C$99-$C73)^2+($D$38:$D$99-$D73)^2),$B$38:$B$99=$B73,ROW($B$38:$B$99)&lt;&gt;ROW($B73)))"),351.6163006645171)</f>
        <v>351.6163007</v>
      </c>
    </row>
    <row r="74">
      <c r="A74" s="2" t="s">
        <v>2</v>
      </c>
      <c r="B74" s="2" t="s">
        <v>53</v>
      </c>
      <c r="C74" s="2">
        <v>2544.103</v>
      </c>
      <c r="D74" s="2">
        <v>88.458</v>
      </c>
      <c r="E74" s="5">
        <f>IFERROR(__xludf.DUMMYFUNCTION("MIN(FILTER(SQRT(($C$38:$C$99-$C74)^2+($D$38:$D$99-$D74)^2),$B$38:$B$99=$B74,ROW($B$38:$B$99)&lt;&gt;ROW($B74)))"),355.9598614970513)</f>
        <v>355.9598615</v>
      </c>
    </row>
    <row r="75">
      <c r="A75" s="2" t="s">
        <v>2</v>
      </c>
      <c r="B75" s="2" t="s">
        <v>53</v>
      </c>
      <c r="C75" s="2">
        <v>2314.264</v>
      </c>
      <c r="D75" s="2">
        <v>483.619</v>
      </c>
      <c r="E75" s="5">
        <f>IFERROR(__xludf.DUMMYFUNCTION("MIN(FILTER(SQRT(($C$38:$C$99-$C75)^2+($D$38:$D$99-$D75)^2),$B$38:$B$99=$B75,ROW($B$38:$B$99)&lt;&gt;ROW($B75)))"),301.6656289088964)</f>
        <v>301.6656289</v>
      </c>
    </row>
    <row r="76">
      <c r="A76" s="2" t="s">
        <v>2</v>
      </c>
      <c r="B76" s="2" t="s">
        <v>53</v>
      </c>
      <c r="C76" s="2">
        <v>2128.78</v>
      </c>
      <c r="D76" s="2">
        <v>721.522</v>
      </c>
      <c r="E76" s="5">
        <f>IFERROR(__xludf.DUMMYFUNCTION("MIN(FILTER(SQRT(($C$38:$C$99-$C76)^2+($D$38:$D$99-$D76)^2),$B$38:$B$99=$B76,ROW($B$38:$B$99)&lt;&gt;ROW($B76)))"),301.6656289088964)</f>
        <v>301.6656289</v>
      </c>
    </row>
    <row r="77">
      <c r="A77" s="2" t="s">
        <v>2</v>
      </c>
      <c r="B77" s="2" t="s">
        <v>53</v>
      </c>
      <c r="C77" s="2">
        <v>1794.103</v>
      </c>
      <c r="D77" s="2">
        <v>552.167</v>
      </c>
      <c r="E77" s="5">
        <f>IFERROR(__xludf.DUMMYFUNCTION("MIN(FILTER(SQRT(($C$38:$C$99-$C77)^2+($D$38:$D$99-$D77)^2),$B$38:$B$99=$B77,ROW($B$38:$B$99)&lt;&gt;ROW($B77)))"),279.9442062000926)</f>
        <v>279.9442062</v>
      </c>
    </row>
    <row r="78">
      <c r="A78" s="2" t="s">
        <v>2</v>
      </c>
      <c r="B78" s="2" t="s">
        <v>53</v>
      </c>
      <c r="C78" s="2">
        <v>1902.974</v>
      </c>
      <c r="D78" s="2">
        <v>1036.038</v>
      </c>
      <c r="E78" s="5">
        <f>IFERROR(__xludf.DUMMYFUNCTION("MIN(FILTER(SQRT(($C$38:$C$99-$C78)^2+($D$38:$D$99-$D78)^2),$B$38:$B$99=$B78,ROW($B$38:$B$99)&lt;&gt;ROW($B78)))"),336.2280073001057)</f>
        <v>336.2280073</v>
      </c>
    </row>
    <row r="79">
      <c r="A79" s="2" t="s">
        <v>2</v>
      </c>
      <c r="B79" s="2" t="s">
        <v>53</v>
      </c>
      <c r="C79" s="2">
        <v>1511.845</v>
      </c>
      <c r="D79" s="2">
        <v>975.554</v>
      </c>
      <c r="E79" s="5">
        <f>IFERROR(__xludf.DUMMYFUNCTION("MIN(FILTER(SQRT(($C$38:$C$99-$C79)^2+($D$38:$D$99-$D79)^2),$B$38:$B$99=$B79,ROW($B$38:$B$99)&lt;&gt;ROW($B79)))"),339.52485966862577)</f>
        <v>339.5248597</v>
      </c>
    </row>
    <row r="80">
      <c r="A80" s="2" t="s">
        <v>2</v>
      </c>
      <c r="B80" s="2" t="s">
        <v>53</v>
      </c>
      <c r="C80" s="2">
        <v>1185.232</v>
      </c>
      <c r="D80" s="2">
        <v>882.812</v>
      </c>
      <c r="E80" s="5">
        <f>IFERROR(__xludf.DUMMYFUNCTION("MIN(FILTER(SQRT(($C$38:$C$99-$C80)^2+($D$38:$D$99-$D80)^2),$B$38:$B$99=$B80,ROW($B$38:$B$99)&lt;&gt;ROW($B80)))"),339.52485966862577)</f>
        <v>339.5248597</v>
      </c>
    </row>
    <row r="81">
      <c r="A81" s="2" t="s">
        <v>2</v>
      </c>
      <c r="B81" s="2" t="s">
        <v>53</v>
      </c>
      <c r="C81" s="2">
        <v>866.683</v>
      </c>
      <c r="D81" s="2">
        <v>757.812</v>
      </c>
      <c r="E81" s="5">
        <f>IFERROR(__xludf.DUMMYFUNCTION("MIN(FILTER(SQRT(($C$38:$C$99-$C81)^2+($D$38:$D$99-$D81)^2),$B$38:$B$99=$B81,ROW($B$38:$B$99)&lt;&gt;ROW($B81)))"),342.19653037545544)</f>
        <v>342.1965304</v>
      </c>
    </row>
    <row r="82">
      <c r="A82" s="2" t="s">
        <v>2</v>
      </c>
      <c r="B82" s="2" t="s">
        <v>53</v>
      </c>
      <c r="C82" s="2">
        <v>713.458</v>
      </c>
      <c r="D82" s="2">
        <v>1152.974</v>
      </c>
      <c r="E82" s="5">
        <f>IFERROR(__xludf.DUMMYFUNCTION("MIN(FILTER(SQRT(($C$38:$C$99-$C82)^2+($D$38:$D$99-$D82)^2),$B$38:$B$99=$B82,ROW($B$38:$B$99)&lt;&gt;ROW($B82)))"),266.89154057968943)</f>
        <v>266.8915406</v>
      </c>
    </row>
    <row r="83">
      <c r="A83" s="2" t="s">
        <v>2</v>
      </c>
      <c r="B83" s="2" t="s">
        <v>53</v>
      </c>
      <c r="C83" s="2">
        <v>463.458</v>
      </c>
      <c r="D83" s="2">
        <v>894.909</v>
      </c>
      <c r="E83" s="5">
        <f>IFERROR(__xludf.DUMMYFUNCTION("MIN(FILTER(SQRT(($C$38:$C$99-$C83)^2+($D$38:$D$99-$D83)^2),$B$38:$B$99=$B83,ROW($B$38:$B$99)&lt;&gt;ROW($B83)))"),359.3014670509988)</f>
        <v>359.3014671</v>
      </c>
    </row>
    <row r="84">
      <c r="A84" s="2" t="s">
        <v>2</v>
      </c>
      <c r="B84" s="2" t="s">
        <v>53</v>
      </c>
      <c r="C84" s="2">
        <v>100.554</v>
      </c>
      <c r="D84" s="2">
        <v>652.974</v>
      </c>
      <c r="E84" s="5">
        <f>IFERROR(__xludf.DUMMYFUNCTION("MIN(FILTER(SQRT(($C$38:$C$99-$C84)^2+($D$38:$D$99-$D84)^2),$B$38:$B$99=$B84,ROW($B$38:$B$99)&lt;&gt;ROW($B84)))"),341.1017567075843)</f>
        <v>341.1017567</v>
      </c>
    </row>
    <row r="85">
      <c r="A85" s="2" t="s">
        <v>2</v>
      </c>
      <c r="B85" s="2" t="s">
        <v>53</v>
      </c>
      <c r="C85" s="2">
        <v>84.425</v>
      </c>
      <c r="D85" s="2">
        <v>1040.071</v>
      </c>
      <c r="E85" s="5">
        <f>IFERROR(__xludf.DUMMYFUNCTION("MIN(FILTER(SQRT(($C$38:$C$99-$C85)^2+($D$38:$D$99-$D85)^2),$B$38:$B$99=$B85,ROW($B$38:$B$99)&lt;&gt;ROW($B85)))"),387.432874250495)</f>
        <v>387.4328743</v>
      </c>
    </row>
    <row r="86">
      <c r="A86" s="2" t="s">
        <v>2</v>
      </c>
      <c r="B86" s="2" t="s">
        <v>53</v>
      </c>
      <c r="C86" s="2">
        <v>419.103</v>
      </c>
      <c r="D86" s="2">
        <v>1306.2</v>
      </c>
      <c r="E86" s="5">
        <f>IFERROR(__xludf.DUMMYFUNCTION("MIN(FILTER(SQRT(($C$38:$C$99-$C86)^2+($D$38:$D$99-$D86)^2),$B$38:$B$99=$B86,ROW($B$38:$B$99)&lt;&gt;ROW($B86)))"),331.84796684777206)</f>
        <v>331.8479668</v>
      </c>
    </row>
    <row r="87">
      <c r="A87" s="2" t="s">
        <v>2</v>
      </c>
      <c r="B87" s="2" t="s">
        <v>53</v>
      </c>
      <c r="C87" s="2">
        <v>600.554</v>
      </c>
      <c r="D87" s="2">
        <v>1588.458</v>
      </c>
      <c r="E87" s="5">
        <f>IFERROR(__xludf.DUMMYFUNCTION("MIN(FILTER(SQRT(($C$38:$C$99-$C87)^2+($D$38:$D$99-$D87)^2),$B$38:$B$99=$B87,ROW($B$38:$B$99)&lt;&gt;ROW($B87)))"),335.5503598046052)</f>
        <v>335.5503598</v>
      </c>
    </row>
    <row r="88">
      <c r="A88" s="2" t="s">
        <v>2</v>
      </c>
      <c r="B88" s="2" t="s">
        <v>53</v>
      </c>
      <c r="C88" s="2">
        <v>140.877</v>
      </c>
      <c r="D88" s="2">
        <v>1532.006</v>
      </c>
      <c r="E88" s="5">
        <f>IFERROR(__xludf.DUMMYFUNCTION("MIN(FILTER(SQRT(($C$38:$C$99-$C88)^2+($D$38:$D$99-$D88)^2),$B$38:$B$99=$B88,ROW($B$38:$B$99)&lt;&gt;ROW($B88)))"),358.3267457391368)</f>
        <v>358.3267457</v>
      </c>
    </row>
    <row r="89">
      <c r="A89" s="2" t="s">
        <v>2</v>
      </c>
      <c r="B89" s="2" t="s">
        <v>53</v>
      </c>
      <c r="C89" s="2">
        <v>915.071</v>
      </c>
      <c r="D89" s="2">
        <v>1794.103</v>
      </c>
      <c r="E89" s="5">
        <f>IFERROR(__xludf.DUMMYFUNCTION("MIN(FILTER(SQRT(($C$38:$C$99-$C89)^2+($D$38:$D$99-$D89)^2),$B$38:$B$99=$B89,ROW($B$38:$B$99)&lt;&gt;ROW($B89)))"),350.82918168960805)</f>
        <v>350.8291817</v>
      </c>
    </row>
    <row r="90">
      <c r="A90" s="2" t="s">
        <v>2</v>
      </c>
      <c r="B90" s="2" t="s">
        <v>53</v>
      </c>
      <c r="C90" s="2">
        <v>1193.296</v>
      </c>
      <c r="D90" s="2">
        <v>1580.393</v>
      </c>
      <c r="E90" s="5">
        <f>IFERROR(__xludf.DUMMYFUNCTION("MIN(FILTER(SQRT(($C$38:$C$99-$C90)^2+($D$38:$D$99-$D90)^2),$B$38:$B$99=$B90,ROW($B$38:$B$99)&lt;&gt;ROW($B90)))"),350.82918168960805)</f>
        <v>350.8291817</v>
      </c>
    </row>
    <row r="91">
      <c r="A91" s="2" t="s">
        <v>2</v>
      </c>
      <c r="B91" s="2" t="s">
        <v>53</v>
      </c>
      <c r="C91" s="2">
        <v>951.361</v>
      </c>
      <c r="D91" s="2">
        <v>1273.942</v>
      </c>
      <c r="E91" s="5">
        <f>IFERROR(__xludf.DUMMYFUNCTION("MIN(FILTER(SQRT(($C$38:$C$99-$C91)^2+($D$38:$D$99-$D91)^2),$B$38:$B$99=$B91,ROW($B$38:$B$99)&lt;&gt;ROW($B91)))"),266.89154057968943)</f>
        <v>266.8915406</v>
      </c>
    </row>
    <row r="92">
      <c r="A92" s="2" t="s">
        <v>2</v>
      </c>
      <c r="B92" s="2" t="s">
        <v>53</v>
      </c>
      <c r="C92" s="2">
        <v>1596.522</v>
      </c>
      <c r="D92" s="2">
        <v>1415.071</v>
      </c>
      <c r="E92" s="5">
        <f>IFERROR(__xludf.DUMMYFUNCTION("MIN(FILTER(SQRT(($C$38:$C$99-$C92)^2+($D$38:$D$99-$D92)^2),$B$38:$B$99=$B92,ROW($B$38:$B$99)&lt;&gt;ROW($B92)))"),270.912653290687)</f>
        <v>270.9126533</v>
      </c>
    </row>
    <row r="93">
      <c r="A93" s="2" t="s">
        <v>2</v>
      </c>
      <c r="B93" s="2" t="s">
        <v>53</v>
      </c>
      <c r="C93" s="2">
        <v>1729.587</v>
      </c>
      <c r="D93" s="2">
        <v>1798.135</v>
      </c>
      <c r="E93" s="5">
        <f>IFERROR(__xludf.DUMMYFUNCTION("MIN(FILTER(SQRT(($C$38:$C$99-$C93)^2+($D$38:$D$99-$D93)^2),$B$38:$B$99=$B93,ROW($B$38:$B$99)&lt;&gt;ROW($B93)))"),314.87785856900126)</f>
        <v>314.8778586</v>
      </c>
    </row>
    <row r="94">
      <c r="A94" s="2" t="s">
        <v>2</v>
      </c>
      <c r="B94" s="2" t="s">
        <v>53</v>
      </c>
      <c r="C94" s="2">
        <v>1419.103</v>
      </c>
      <c r="D94" s="2">
        <v>1850.554</v>
      </c>
      <c r="E94" s="5">
        <f>IFERROR(__xludf.DUMMYFUNCTION("MIN(FILTER(SQRT(($C$38:$C$99-$C94)^2+($D$38:$D$99-$D94)^2),$B$38:$B$99=$B94,ROW($B$38:$B$99)&lt;&gt;ROW($B94)))"),314.87785856900126)</f>
        <v>314.8778586</v>
      </c>
    </row>
    <row r="95">
      <c r="A95" s="2" t="s">
        <v>2</v>
      </c>
      <c r="B95" s="2" t="s">
        <v>53</v>
      </c>
      <c r="C95" s="2">
        <v>1858.619</v>
      </c>
      <c r="D95" s="2">
        <v>1483.619</v>
      </c>
      <c r="E95" s="5">
        <f>IFERROR(__xludf.DUMMYFUNCTION("MIN(FILTER(SQRT(($C$38:$C$99-$C95)^2+($D$38:$D$99-$D95)^2),$B$38:$B$99=$B95,ROW($B$38:$B$99)&lt;&gt;ROW($B95)))"),270.912653290687)</f>
        <v>270.9126533</v>
      </c>
    </row>
    <row r="96">
      <c r="A96" s="2" t="s">
        <v>2</v>
      </c>
      <c r="B96" s="2" t="s">
        <v>53</v>
      </c>
      <c r="C96" s="2">
        <v>2253.78</v>
      </c>
      <c r="D96" s="2">
        <v>1487.651</v>
      </c>
      <c r="E96" s="5">
        <f>IFERROR(__xludf.DUMMYFUNCTION("MIN(FILTER(SQRT(($C$38:$C$99-$C96)^2+($D$38:$D$99-$D96)^2),$B$38:$B$99=$B96,ROW($B$38:$B$99)&lt;&gt;ROW($B96)))"),395.1815695917514)</f>
        <v>395.1815696</v>
      </c>
    </row>
    <row r="97">
      <c r="A97" s="2" t="s">
        <v>2</v>
      </c>
      <c r="B97" s="2" t="s">
        <v>53</v>
      </c>
      <c r="C97" s="2">
        <v>2419.103</v>
      </c>
      <c r="D97" s="2">
        <v>1850.554</v>
      </c>
      <c r="E97" s="5">
        <f>IFERROR(__xludf.DUMMYFUNCTION("MIN(FILTER(SQRT(($C$38:$C$99-$C97)^2+($D$38:$D$99-$D97)^2),$B$38:$B$99=$B97,ROW($B$38:$B$99)&lt;&gt;ROW($B97)))"),398.78600995772155)</f>
        <v>398.78601</v>
      </c>
    </row>
    <row r="98">
      <c r="A98" s="2" t="s">
        <v>2</v>
      </c>
      <c r="B98" s="2" t="s">
        <v>53</v>
      </c>
      <c r="C98" s="2">
        <v>2237.651</v>
      </c>
      <c r="D98" s="2">
        <v>1068.296</v>
      </c>
      <c r="E98" s="5">
        <f>IFERROR(__xludf.DUMMYFUNCTION("MIN(FILTER(SQRT(($C$38:$C$99-$C98)^2+($D$38:$D$99-$D98)^2),$B$38:$B$99=$B98,ROW($B$38:$B$99)&lt;&gt;ROW($B98)))"),336.2280073001057)</f>
        <v>336.2280073</v>
      </c>
    </row>
    <row r="99">
      <c r="A99" s="2" t="s">
        <v>2</v>
      </c>
      <c r="B99" s="2" t="s">
        <v>53</v>
      </c>
      <c r="C99" s="2">
        <v>2495.716</v>
      </c>
      <c r="D99" s="2">
        <v>846.522</v>
      </c>
      <c r="E99" s="5">
        <f>IFERROR(__xludf.DUMMYFUNCTION("MIN(FILTER(SQRT(($C$38:$C$99-$C99)^2+($D$38:$D$99-$D99)^2),$B$38:$B$99=$B99,ROW($B$38:$B$99)&lt;&gt;ROW($B99)))"),340.26644163214223)</f>
        <v>340.2664416</v>
      </c>
    </row>
    <row r="100">
      <c r="A100" s="2" t="s">
        <v>54</v>
      </c>
    </row>
    <row r="102">
      <c r="A102" s="2" t="s">
        <v>55</v>
      </c>
    </row>
    <row r="103">
      <c r="A103" s="2" t="s">
        <v>47</v>
      </c>
      <c r="B103" s="2" t="s">
        <v>48</v>
      </c>
      <c r="C103" s="2" t="s">
        <v>56</v>
      </c>
      <c r="D103" s="2" t="s">
        <v>57</v>
      </c>
    </row>
    <row r="104">
      <c r="A104" s="2" t="s">
        <v>1</v>
      </c>
      <c r="B104" s="2" t="s">
        <v>52</v>
      </c>
      <c r="C104" s="2">
        <v>64938.88</v>
      </c>
      <c r="D104" s="5">
        <f t="shared" ref="D104:D155" si="13">2*SQRT(C104/PI())</f>
        <v>287.5460833</v>
      </c>
    </row>
    <row r="105">
      <c r="A105" s="2" t="s">
        <v>1</v>
      </c>
      <c r="B105" s="2" t="s">
        <v>52</v>
      </c>
      <c r="C105" s="2">
        <v>43365.075</v>
      </c>
      <c r="D105" s="5">
        <f t="shared" si="13"/>
        <v>234.9768677</v>
      </c>
    </row>
    <row r="106">
      <c r="A106" s="2" t="s">
        <v>1</v>
      </c>
      <c r="B106" s="2" t="s">
        <v>52</v>
      </c>
      <c r="C106" s="2">
        <v>56210.559</v>
      </c>
      <c r="D106" s="5">
        <f t="shared" si="13"/>
        <v>267.5247775</v>
      </c>
    </row>
    <row r="107">
      <c r="A107" s="2" t="s">
        <v>1</v>
      </c>
      <c r="B107" s="2" t="s">
        <v>52</v>
      </c>
      <c r="C107" s="2">
        <v>49896.81</v>
      </c>
      <c r="D107" s="5">
        <f t="shared" si="13"/>
        <v>252.0527557</v>
      </c>
    </row>
    <row r="108">
      <c r="A108" s="2" t="s">
        <v>1</v>
      </c>
      <c r="B108" s="2" t="s">
        <v>52</v>
      </c>
      <c r="C108" s="2">
        <v>71646.52</v>
      </c>
      <c r="D108" s="5">
        <f t="shared" si="13"/>
        <v>302.0317574</v>
      </c>
    </row>
    <row r="109">
      <c r="A109" s="2" t="s">
        <v>1</v>
      </c>
      <c r="B109" s="2" t="s">
        <v>52</v>
      </c>
      <c r="C109" s="2">
        <v>34248.09</v>
      </c>
      <c r="D109" s="5">
        <f t="shared" si="13"/>
        <v>208.820551</v>
      </c>
    </row>
    <row r="110">
      <c r="A110" s="2" t="s">
        <v>1</v>
      </c>
      <c r="B110" s="2" t="s">
        <v>52</v>
      </c>
      <c r="C110" s="2">
        <v>56208.99</v>
      </c>
      <c r="D110" s="5">
        <f t="shared" si="13"/>
        <v>267.5210437</v>
      </c>
    </row>
    <row r="111">
      <c r="A111" s="2" t="s">
        <v>1</v>
      </c>
      <c r="B111" s="2" t="s">
        <v>52</v>
      </c>
      <c r="C111" s="2">
        <v>43686.565</v>
      </c>
      <c r="D111" s="5">
        <f t="shared" si="13"/>
        <v>235.846268</v>
      </c>
    </row>
    <row r="112">
      <c r="A112" s="2" t="s">
        <v>1</v>
      </c>
      <c r="B112" s="2" t="s">
        <v>52</v>
      </c>
      <c r="C112" s="2">
        <v>34296.444</v>
      </c>
      <c r="D112" s="5">
        <f t="shared" si="13"/>
        <v>208.9679132</v>
      </c>
    </row>
    <row r="113">
      <c r="A113" s="2" t="s">
        <v>1</v>
      </c>
      <c r="B113" s="2" t="s">
        <v>52</v>
      </c>
      <c r="C113" s="2">
        <v>44981.934</v>
      </c>
      <c r="D113" s="5">
        <f t="shared" si="13"/>
        <v>239.3173148</v>
      </c>
    </row>
    <row r="114">
      <c r="A114" s="2" t="s">
        <v>1</v>
      </c>
      <c r="B114" s="2" t="s">
        <v>52</v>
      </c>
      <c r="C114" s="2">
        <v>67036.145</v>
      </c>
      <c r="D114" s="5">
        <f t="shared" si="13"/>
        <v>292.1524786</v>
      </c>
    </row>
    <row r="115">
      <c r="A115" s="2" t="s">
        <v>1</v>
      </c>
      <c r="B115" s="2" t="s">
        <v>52</v>
      </c>
      <c r="C115" s="2">
        <v>43201.977</v>
      </c>
      <c r="D115" s="5">
        <f t="shared" si="13"/>
        <v>234.5345721</v>
      </c>
    </row>
    <row r="116">
      <c r="A116" s="2" t="s">
        <v>1</v>
      </c>
      <c r="B116" s="2" t="s">
        <v>52</v>
      </c>
      <c r="C116" s="2">
        <v>43544.638</v>
      </c>
      <c r="D116" s="5">
        <f t="shared" si="13"/>
        <v>235.4628528</v>
      </c>
    </row>
    <row r="117">
      <c r="A117" s="2" t="s">
        <v>1</v>
      </c>
      <c r="B117" s="2" t="s">
        <v>52</v>
      </c>
      <c r="C117" s="2">
        <v>34977.062</v>
      </c>
      <c r="D117" s="5">
        <f t="shared" si="13"/>
        <v>211.0312264</v>
      </c>
    </row>
    <row r="118">
      <c r="A118" s="2" t="s">
        <v>1</v>
      </c>
      <c r="B118" s="2" t="s">
        <v>52</v>
      </c>
      <c r="C118" s="2">
        <v>62666.234</v>
      </c>
      <c r="D118" s="5">
        <f t="shared" si="13"/>
        <v>282.4696926</v>
      </c>
    </row>
    <row r="119">
      <c r="A119" s="2" t="s">
        <v>1</v>
      </c>
      <c r="B119" s="2" t="s">
        <v>52</v>
      </c>
      <c r="C119" s="2">
        <v>38200.064</v>
      </c>
      <c r="D119" s="5">
        <f t="shared" si="13"/>
        <v>220.5398651</v>
      </c>
    </row>
    <row r="120">
      <c r="A120" s="2" t="s">
        <v>1</v>
      </c>
      <c r="B120" s="2" t="s">
        <v>52</v>
      </c>
      <c r="C120" s="2">
        <v>52616.144</v>
      </c>
      <c r="D120" s="5">
        <f t="shared" si="13"/>
        <v>258.8299736</v>
      </c>
    </row>
    <row r="121">
      <c r="A121" s="2" t="s">
        <v>1</v>
      </c>
      <c r="B121" s="2" t="s">
        <v>52</v>
      </c>
      <c r="C121" s="2">
        <v>78627.034</v>
      </c>
      <c r="D121" s="5">
        <f t="shared" si="13"/>
        <v>316.4033011</v>
      </c>
    </row>
    <row r="122">
      <c r="A122" s="2" t="s">
        <v>1</v>
      </c>
      <c r="B122" s="2" t="s">
        <v>52</v>
      </c>
      <c r="C122" s="2">
        <v>51992.767</v>
      </c>
      <c r="D122" s="5">
        <f t="shared" si="13"/>
        <v>257.2921433</v>
      </c>
    </row>
    <row r="123">
      <c r="A123" s="2" t="s">
        <v>1</v>
      </c>
      <c r="B123" s="2" t="s">
        <v>52</v>
      </c>
      <c r="C123" s="2">
        <v>42826.383</v>
      </c>
      <c r="D123" s="5">
        <f t="shared" si="13"/>
        <v>233.5128356</v>
      </c>
    </row>
    <row r="124">
      <c r="A124" s="2" t="s">
        <v>1</v>
      </c>
      <c r="B124" s="2" t="s">
        <v>52</v>
      </c>
      <c r="C124" s="2">
        <v>54013.711</v>
      </c>
      <c r="D124" s="5">
        <f t="shared" si="13"/>
        <v>262.24491</v>
      </c>
    </row>
    <row r="125">
      <c r="A125" s="2" t="s">
        <v>1</v>
      </c>
      <c r="B125" s="2" t="s">
        <v>52</v>
      </c>
      <c r="C125" s="2">
        <v>41882.3</v>
      </c>
      <c r="D125" s="5">
        <f t="shared" si="13"/>
        <v>230.9246643</v>
      </c>
    </row>
    <row r="126">
      <c r="A126" s="2" t="s">
        <v>2</v>
      </c>
      <c r="B126" s="2" t="s">
        <v>53</v>
      </c>
      <c r="C126" s="2">
        <v>57957.483</v>
      </c>
      <c r="D126" s="5">
        <f t="shared" si="13"/>
        <v>271.6500677</v>
      </c>
    </row>
    <row r="127">
      <c r="A127" s="2" t="s">
        <v>2</v>
      </c>
      <c r="B127" s="2" t="s">
        <v>53</v>
      </c>
      <c r="C127" s="2">
        <v>37836.335</v>
      </c>
      <c r="D127" s="5">
        <f t="shared" si="13"/>
        <v>219.4873982</v>
      </c>
    </row>
    <row r="128">
      <c r="A128" s="2" t="s">
        <v>2</v>
      </c>
      <c r="B128" s="2" t="s">
        <v>53</v>
      </c>
      <c r="C128" s="2">
        <v>26941.35</v>
      </c>
      <c r="D128" s="5">
        <f t="shared" si="13"/>
        <v>185.2101299</v>
      </c>
    </row>
    <row r="129">
      <c r="A129" s="2" t="s">
        <v>2</v>
      </c>
      <c r="B129" s="2" t="s">
        <v>53</v>
      </c>
      <c r="C129" s="2">
        <v>44479.877</v>
      </c>
      <c r="D129" s="5">
        <f t="shared" si="13"/>
        <v>237.9780207</v>
      </c>
    </row>
    <row r="130">
      <c r="A130" s="2" t="s">
        <v>2</v>
      </c>
      <c r="B130" s="2" t="s">
        <v>53</v>
      </c>
      <c r="C130" s="2">
        <v>28529.026</v>
      </c>
      <c r="D130" s="5">
        <f t="shared" si="13"/>
        <v>190.5893073</v>
      </c>
    </row>
    <row r="131">
      <c r="A131" s="2" t="s">
        <v>2</v>
      </c>
      <c r="B131" s="2" t="s">
        <v>53</v>
      </c>
      <c r="C131" s="2">
        <v>28571.364</v>
      </c>
      <c r="D131" s="5">
        <f t="shared" si="13"/>
        <v>190.7306753</v>
      </c>
    </row>
    <row r="132">
      <c r="A132" s="2" t="s">
        <v>2</v>
      </c>
      <c r="B132" s="2" t="s">
        <v>53</v>
      </c>
      <c r="C132" s="2">
        <v>21248.397</v>
      </c>
      <c r="D132" s="5">
        <f t="shared" si="13"/>
        <v>164.4819118</v>
      </c>
    </row>
    <row r="133">
      <c r="A133" s="2" t="s">
        <v>2</v>
      </c>
      <c r="B133" s="2" t="s">
        <v>53</v>
      </c>
      <c r="C133" s="2">
        <v>25700.694</v>
      </c>
      <c r="D133" s="5">
        <f t="shared" si="13"/>
        <v>180.8953839</v>
      </c>
    </row>
    <row r="134">
      <c r="A134" s="2" t="s">
        <v>2</v>
      </c>
      <c r="B134" s="2" t="s">
        <v>53</v>
      </c>
      <c r="C134" s="2">
        <v>45553.449</v>
      </c>
      <c r="D134" s="5">
        <f t="shared" si="13"/>
        <v>240.8328314</v>
      </c>
    </row>
    <row r="135">
      <c r="A135" s="2" t="s">
        <v>2</v>
      </c>
      <c r="B135" s="2" t="s">
        <v>53</v>
      </c>
      <c r="C135" s="2">
        <v>42201.184</v>
      </c>
      <c r="D135" s="5">
        <f t="shared" si="13"/>
        <v>231.8021059</v>
      </c>
    </row>
    <row r="136">
      <c r="A136" s="2" t="s">
        <v>2</v>
      </c>
      <c r="B136" s="2" t="s">
        <v>53</v>
      </c>
      <c r="C136" s="2">
        <v>32613.385</v>
      </c>
      <c r="D136" s="5">
        <f t="shared" si="13"/>
        <v>203.7759835</v>
      </c>
    </row>
    <row r="137">
      <c r="A137" s="2" t="s">
        <v>2</v>
      </c>
      <c r="B137" s="2" t="s">
        <v>53</v>
      </c>
      <c r="C137" s="2">
        <v>37329.287</v>
      </c>
      <c r="D137" s="5">
        <f t="shared" si="13"/>
        <v>218.0117529</v>
      </c>
    </row>
    <row r="138">
      <c r="A138" s="2" t="s">
        <v>2</v>
      </c>
      <c r="B138" s="2" t="s">
        <v>53</v>
      </c>
      <c r="C138" s="2">
        <v>39976.926</v>
      </c>
      <c r="D138" s="5">
        <f t="shared" si="13"/>
        <v>225.6107335</v>
      </c>
    </row>
    <row r="139">
      <c r="A139" s="2" t="s">
        <v>2</v>
      </c>
      <c r="B139" s="2" t="s">
        <v>53</v>
      </c>
      <c r="C139" s="2">
        <v>28352.869</v>
      </c>
      <c r="D139" s="5">
        <f t="shared" si="13"/>
        <v>189.9999843</v>
      </c>
    </row>
    <row r="140">
      <c r="A140" s="2" t="s">
        <v>2</v>
      </c>
      <c r="B140" s="2" t="s">
        <v>53</v>
      </c>
      <c r="C140" s="2">
        <v>41146.514</v>
      </c>
      <c r="D140" s="5">
        <f t="shared" si="13"/>
        <v>228.8872403</v>
      </c>
    </row>
    <row r="141">
      <c r="A141" s="2" t="s">
        <v>2</v>
      </c>
      <c r="B141" s="2" t="s">
        <v>53</v>
      </c>
      <c r="C141" s="2">
        <v>31779.225</v>
      </c>
      <c r="D141" s="5">
        <f t="shared" si="13"/>
        <v>201.1530909</v>
      </c>
    </row>
    <row r="142">
      <c r="A142" s="2" t="s">
        <v>2</v>
      </c>
      <c r="B142" s="2" t="s">
        <v>53</v>
      </c>
      <c r="C142" s="2">
        <v>34241.635</v>
      </c>
      <c r="D142" s="5">
        <f t="shared" si="13"/>
        <v>208.8008711</v>
      </c>
    </row>
    <row r="143">
      <c r="A143" s="2" t="s">
        <v>2</v>
      </c>
      <c r="B143" s="2" t="s">
        <v>53</v>
      </c>
      <c r="C143" s="2">
        <v>44404.778</v>
      </c>
      <c r="D143" s="5">
        <f t="shared" si="13"/>
        <v>237.777037</v>
      </c>
    </row>
    <row r="144">
      <c r="A144" s="2" t="s">
        <v>2</v>
      </c>
      <c r="B144" s="2" t="s">
        <v>53</v>
      </c>
      <c r="C144" s="2">
        <v>47327.11</v>
      </c>
      <c r="D144" s="5">
        <f t="shared" si="13"/>
        <v>245.4765732</v>
      </c>
    </row>
    <row r="145">
      <c r="A145" s="2" t="s">
        <v>2</v>
      </c>
      <c r="B145" s="2" t="s">
        <v>53</v>
      </c>
      <c r="C145" s="2">
        <v>38740.051</v>
      </c>
      <c r="D145" s="5">
        <f t="shared" si="13"/>
        <v>222.0931446</v>
      </c>
    </row>
    <row r="146">
      <c r="A146" s="2" t="s">
        <v>2</v>
      </c>
      <c r="B146" s="2" t="s">
        <v>53</v>
      </c>
      <c r="C146" s="2">
        <v>53926.55</v>
      </c>
      <c r="D146" s="5">
        <f t="shared" si="13"/>
        <v>262.0332345</v>
      </c>
    </row>
    <row r="147">
      <c r="A147" s="2" t="s">
        <v>2</v>
      </c>
      <c r="B147" s="2" t="s">
        <v>53</v>
      </c>
      <c r="C147" s="2">
        <v>34999.94</v>
      </c>
      <c r="D147" s="5">
        <f t="shared" si="13"/>
        <v>211.1002313</v>
      </c>
    </row>
    <row r="148">
      <c r="A148" s="2" t="s">
        <v>2</v>
      </c>
      <c r="B148" s="2" t="s">
        <v>53</v>
      </c>
      <c r="C148" s="2">
        <v>30475.819</v>
      </c>
      <c r="D148" s="5">
        <f t="shared" si="13"/>
        <v>196.9848164</v>
      </c>
    </row>
    <row r="149">
      <c r="A149" s="2" t="s">
        <v>2</v>
      </c>
      <c r="B149" s="2" t="s">
        <v>53</v>
      </c>
      <c r="C149" s="2">
        <v>29427.953</v>
      </c>
      <c r="D149" s="5">
        <f t="shared" si="13"/>
        <v>193.568679</v>
      </c>
    </row>
    <row r="150">
      <c r="A150" s="2" t="s">
        <v>2</v>
      </c>
      <c r="B150" s="2" t="s">
        <v>53</v>
      </c>
      <c r="C150" s="2">
        <v>33214.938</v>
      </c>
      <c r="D150" s="5">
        <f t="shared" si="13"/>
        <v>205.6467178</v>
      </c>
    </row>
    <row r="151">
      <c r="A151" s="2" t="s">
        <v>2</v>
      </c>
      <c r="B151" s="2" t="s">
        <v>53</v>
      </c>
      <c r="C151" s="2">
        <v>32373.47</v>
      </c>
      <c r="D151" s="5">
        <f t="shared" si="13"/>
        <v>203.0250778</v>
      </c>
    </row>
    <row r="152">
      <c r="A152" s="2" t="s">
        <v>2</v>
      </c>
      <c r="B152" s="2" t="s">
        <v>53</v>
      </c>
      <c r="C152" s="2">
        <v>49432.67</v>
      </c>
      <c r="D152" s="5">
        <f t="shared" si="13"/>
        <v>250.8777197</v>
      </c>
    </row>
    <row r="153">
      <c r="A153" s="2" t="s">
        <v>2</v>
      </c>
      <c r="B153" s="2" t="s">
        <v>53</v>
      </c>
      <c r="C153" s="2">
        <v>47431.443</v>
      </c>
      <c r="D153" s="5">
        <f t="shared" si="13"/>
        <v>245.7470018</v>
      </c>
    </row>
    <row r="154">
      <c r="A154" s="2" t="s">
        <v>2</v>
      </c>
      <c r="B154" s="2" t="s">
        <v>53</v>
      </c>
      <c r="C154" s="2">
        <v>28451.154</v>
      </c>
      <c r="D154" s="5">
        <f t="shared" si="13"/>
        <v>190.3290161</v>
      </c>
    </row>
    <row r="155">
      <c r="A155" s="2" t="s">
        <v>2</v>
      </c>
      <c r="B155" s="2" t="s">
        <v>53</v>
      </c>
      <c r="C155" s="2">
        <v>36707.069</v>
      </c>
      <c r="D155" s="5">
        <f t="shared" si="13"/>
        <v>216.1871685</v>
      </c>
    </row>
    <row r="157">
      <c r="A157" s="2" t="s">
        <v>58</v>
      </c>
    </row>
    <row r="158">
      <c r="A158" s="2" t="s">
        <v>47</v>
      </c>
      <c r="B158" s="2" t="s">
        <v>59</v>
      </c>
      <c r="C158" s="2" t="s">
        <v>48</v>
      </c>
      <c r="D158" s="2" t="s">
        <v>56</v>
      </c>
      <c r="E158" s="2" t="s">
        <v>57</v>
      </c>
      <c r="F158" s="2" t="s">
        <v>60</v>
      </c>
    </row>
    <row r="159">
      <c r="A159" s="2" t="s">
        <v>1</v>
      </c>
      <c r="B159" s="2" t="s">
        <v>61</v>
      </c>
      <c r="C159" s="2" t="s">
        <v>62</v>
      </c>
      <c r="D159" s="2">
        <v>397.884</v>
      </c>
      <c r="E159" s="5">
        <f t="shared" ref="E159:E190" si="14">2*SQRT(D159/PI())</f>
        <v>22.50781293</v>
      </c>
    </row>
    <row r="160">
      <c r="A160" s="2" t="s">
        <v>1</v>
      </c>
      <c r="B160" s="2" t="s">
        <v>61</v>
      </c>
      <c r="C160" s="2" t="s">
        <v>62</v>
      </c>
      <c r="D160" s="2">
        <v>455.86</v>
      </c>
      <c r="E160" s="5">
        <f t="shared" si="14"/>
        <v>24.09188616</v>
      </c>
    </row>
    <row r="161">
      <c r="A161" s="2" t="s">
        <v>1</v>
      </c>
      <c r="B161" s="2" t="s">
        <v>61</v>
      </c>
      <c r="C161" s="2" t="s">
        <v>62</v>
      </c>
      <c r="D161" s="2">
        <v>393.777</v>
      </c>
      <c r="E161" s="5">
        <f t="shared" si="14"/>
        <v>22.39134762</v>
      </c>
    </row>
    <row r="162">
      <c r="A162" s="2" t="s">
        <v>1</v>
      </c>
      <c r="B162" s="2" t="s">
        <v>61</v>
      </c>
      <c r="C162" s="2" t="s">
        <v>62</v>
      </c>
      <c r="D162" s="2">
        <v>433.192</v>
      </c>
      <c r="E162" s="5">
        <f t="shared" si="14"/>
        <v>23.48525463</v>
      </c>
    </row>
    <row r="163">
      <c r="A163" s="2" t="s">
        <v>1</v>
      </c>
      <c r="B163" s="2" t="s">
        <v>61</v>
      </c>
      <c r="C163" s="2" t="s">
        <v>62</v>
      </c>
      <c r="D163" s="2">
        <v>372.999</v>
      </c>
      <c r="E163" s="5">
        <f t="shared" si="14"/>
        <v>21.79259225</v>
      </c>
    </row>
    <row r="164">
      <c r="A164" s="2" t="s">
        <v>1</v>
      </c>
      <c r="B164" s="2" t="s">
        <v>61</v>
      </c>
      <c r="C164" s="2" t="s">
        <v>62</v>
      </c>
      <c r="D164" s="2">
        <v>605.194</v>
      </c>
      <c r="E164" s="5">
        <f t="shared" si="14"/>
        <v>27.75890727</v>
      </c>
    </row>
    <row r="165">
      <c r="A165" s="2" t="s">
        <v>1</v>
      </c>
      <c r="B165" s="2" t="s">
        <v>61</v>
      </c>
      <c r="C165" s="2" t="s">
        <v>62</v>
      </c>
      <c r="D165" s="2">
        <v>542.904</v>
      </c>
      <c r="E165" s="5">
        <f t="shared" si="14"/>
        <v>26.29157359</v>
      </c>
    </row>
    <row r="166">
      <c r="A166" s="2" t="s">
        <v>1</v>
      </c>
      <c r="B166" s="2" t="s">
        <v>61</v>
      </c>
      <c r="C166" s="2" t="s">
        <v>63</v>
      </c>
      <c r="D166" s="2">
        <v>228.036</v>
      </c>
      <c r="E166" s="5">
        <f t="shared" si="14"/>
        <v>17.03949685</v>
      </c>
    </row>
    <row r="167">
      <c r="A167" s="2" t="s">
        <v>1</v>
      </c>
      <c r="B167" s="2" t="s">
        <v>61</v>
      </c>
      <c r="C167" s="2" t="s">
        <v>63</v>
      </c>
      <c r="D167" s="2">
        <v>376.832</v>
      </c>
      <c r="E167" s="5">
        <f t="shared" si="14"/>
        <v>21.90427822</v>
      </c>
    </row>
    <row r="168">
      <c r="A168" s="2" t="s">
        <v>1</v>
      </c>
      <c r="B168" s="2" t="s">
        <v>61</v>
      </c>
      <c r="C168" s="2" t="s">
        <v>63</v>
      </c>
      <c r="D168" s="2">
        <v>382.465</v>
      </c>
      <c r="E168" s="5">
        <f t="shared" si="14"/>
        <v>22.06738685</v>
      </c>
    </row>
    <row r="169">
      <c r="A169" s="2" t="s">
        <v>1</v>
      </c>
      <c r="B169" s="2" t="s">
        <v>61</v>
      </c>
      <c r="C169" s="2" t="s">
        <v>63</v>
      </c>
      <c r="D169" s="2">
        <v>508.097</v>
      </c>
      <c r="E169" s="5">
        <f t="shared" si="14"/>
        <v>25.43480279</v>
      </c>
    </row>
    <row r="170">
      <c r="A170" s="2" t="s">
        <v>1</v>
      </c>
      <c r="B170" s="2" t="s">
        <v>61</v>
      </c>
      <c r="C170" s="2" t="s">
        <v>63</v>
      </c>
      <c r="D170" s="2">
        <v>330.563</v>
      </c>
      <c r="E170" s="5">
        <f t="shared" si="14"/>
        <v>20.51550349</v>
      </c>
    </row>
    <row r="171">
      <c r="A171" s="2" t="s">
        <v>1</v>
      </c>
      <c r="B171" s="2" t="s">
        <v>61</v>
      </c>
      <c r="C171" s="2" t="s">
        <v>63</v>
      </c>
      <c r="D171" s="2">
        <v>545.229</v>
      </c>
      <c r="E171" s="5">
        <f t="shared" si="14"/>
        <v>26.34781061</v>
      </c>
    </row>
    <row r="172">
      <c r="A172" s="2" t="s">
        <v>2</v>
      </c>
      <c r="B172" s="2" t="s">
        <v>61</v>
      </c>
      <c r="C172" s="2" t="s">
        <v>64</v>
      </c>
      <c r="D172" s="2">
        <v>672.354</v>
      </c>
      <c r="E172" s="5">
        <f t="shared" si="14"/>
        <v>29.25863464</v>
      </c>
    </row>
    <row r="173">
      <c r="A173" s="2" t="s">
        <v>2</v>
      </c>
      <c r="B173" s="2" t="s">
        <v>61</v>
      </c>
      <c r="C173" s="2" t="s">
        <v>64</v>
      </c>
      <c r="D173" s="2">
        <v>744.885</v>
      </c>
      <c r="E173" s="5">
        <f t="shared" si="14"/>
        <v>30.79638028</v>
      </c>
    </row>
    <row r="174">
      <c r="A174" s="2" t="s">
        <v>2</v>
      </c>
      <c r="B174" s="2" t="s">
        <v>61</v>
      </c>
      <c r="C174" s="2" t="s">
        <v>64</v>
      </c>
      <c r="D174" s="2">
        <v>1185.311</v>
      </c>
      <c r="E174" s="5">
        <f t="shared" si="14"/>
        <v>38.84822825</v>
      </c>
    </row>
    <row r="175">
      <c r="A175" s="2" t="s">
        <v>2</v>
      </c>
      <c r="B175" s="2" t="s">
        <v>61</v>
      </c>
      <c r="C175" s="2" t="s">
        <v>64</v>
      </c>
      <c r="D175" s="2">
        <v>996.158</v>
      </c>
      <c r="E175" s="5">
        <f t="shared" si="14"/>
        <v>35.61387031</v>
      </c>
    </row>
    <row r="176">
      <c r="A176" s="2" t="s">
        <v>2</v>
      </c>
      <c r="B176" s="2" t="s">
        <v>61</v>
      </c>
      <c r="C176" s="2" t="s">
        <v>64</v>
      </c>
      <c r="D176" s="2">
        <v>746.843</v>
      </c>
      <c r="E176" s="5">
        <f t="shared" si="14"/>
        <v>30.8368293</v>
      </c>
    </row>
    <row r="177">
      <c r="A177" s="2" t="s">
        <v>2</v>
      </c>
      <c r="B177" s="2" t="s">
        <v>61</v>
      </c>
      <c r="C177" s="2" t="s">
        <v>64</v>
      </c>
      <c r="D177" s="2">
        <v>1368.713</v>
      </c>
      <c r="E177" s="5">
        <f t="shared" si="14"/>
        <v>41.74565267</v>
      </c>
    </row>
    <row r="178">
      <c r="A178" s="2" t="s">
        <v>2</v>
      </c>
      <c r="B178" s="2" t="s">
        <v>61</v>
      </c>
      <c r="C178" s="2" t="s">
        <v>64</v>
      </c>
      <c r="D178" s="2">
        <v>1040.17</v>
      </c>
      <c r="E178" s="5">
        <f t="shared" si="14"/>
        <v>36.39210872</v>
      </c>
    </row>
    <row r="179">
      <c r="A179" s="2" t="s">
        <v>2</v>
      </c>
      <c r="B179" s="2" t="s">
        <v>61</v>
      </c>
      <c r="C179" s="2" t="s">
        <v>64</v>
      </c>
      <c r="D179" s="2">
        <v>549.798</v>
      </c>
      <c r="E179" s="5">
        <f t="shared" si="14"/>
        <v>26.45797716</v>
      </c>
    </row>
    <row r="180">
      <c r="A180" s="2" t="s">
        <v>2</v>
      </c>
      <c r="B180" s="2" t="s">
        <v>61</v>
      </c>
      <c r="C180" s="2" t="s">
        <v>64</v>
      </c>
      <c r="D180" s="2">
        <v>665.867</v>
      </c>
      <c r="E180" s="5">
        <f t="shared" si="14"/>
        <v>29.11714608</v>
      </c>
    </row>
    <row r="181">
      <c r="A181" s="2" t="s">
        <v>65</v>
      </c>
      <c r="B181" s="2" t="s">
        <v>66</v>
      </c>
      <c r="C181" s="2" t="s">
        <v>67</v>
      </c>
      <c r="D181" s="2">
        <v>8.74</v>
      </c>
      <c r="E181" s="5">
        <f t="shared" si="14"/>
        <v>3.335882735</v>
      </c>
      <c r="F181" s="2" t="s">
        <v>68</v>
      </c>
    </row>
    <row r="182">
      <c r="A182" s="2" t="s">
        <v>65</v>
      </c>
      <c r="B182" s="2" t="s">
        <v>66</v>
      </c>
      <c r="C182" s="2" t="s">
        <v>67</v>
      </c>
      <c r="D182" s="2">
        <v>7.621</v>
      </c>
      <c r="E182" s="5">
        <f t="shared" si="14"/>
        <v>3.11502144</v>
      </c>
      <c r="F182" s="2" t="s">
        <v>68</v>
      </c>
    </row>
    <row r="183">
      <c r="A183" s="2" t="s">
        <v>65</v>
      </c>
      <c r="B183" s="2" t="s">
        <v>66</v>
      </c>
      <c r="C183" s="2" t="s">
        <v>67</v>
      </c>
      <c r="D183" s="2">
        <v>5.458</v>
      </c>
      <c r="E183" s="5">
        <f t="shared" si="14"/>
        <v>2.636160358</v>
      </c>
      <c r="F183" s="2" t="s">
        <v>68</v>
      </c>
    </row>
    <row r="184">
      <c r="A184" s="2" t="s">
        <v>65</v>
      </c>
      <c r="B184" s="2" t="s">
        <v>66</v>
      </c>
      <c r="C184" s="2" t="s">
        <v>67</v>
      </c>
      <c r="D184" s="2">
        <v>7.318</v>
      </c>
      <c r="E184" s="5">
        <f t="shared" si="14"/>
        <v>3.052468999</v>
      </c>
      <c r="F184" s="2" t="s">
        <v>68</v>
      </c>
    </row>
    <row r="185">
      <c r="A185" s="2" t="s">
        <v>65</v>
      </c>
      <c r="B185" s="2" t="s">
        <v>66</v>
      </c>
      <c r="C185" s="2" t="s">
        <v>67</v>
      </c>
      <c r="D185" s="2">
        <v>7.994</v>
      </c>
      <c r="E185" s="5">
        <f t="shared" si="14"/>
        <v>3.190341192</v>
      </c>
      <c r="F185" s="2" t="s">
        <v>68</v>
      </c>
    </row>
    <row r="186">
      <c r="A186" s="2" t="s">
        <v>65</v>
      </c>
      <c r="B186" s="2" t="s">
        <v>66</v>
      </c>
      <c r="C186" s="2" t="s">
        <v>67</v>
      </c>
      <c r="D186" s="2">
        <v>3.908</v>
      </c>
      <c r="E186" s="5">
        <f t="shared" si="14"/>
        <v>2.230654644</v>
      </c>
      <c r="F186" s="2" t="s">
        <v>68</v>
      </c>
    </row>
    <row r="187">
      <c r="A187" s="2" t="s">
        <v>65</v>
      </c>
      <c r="B187" s="2" t="s">
        <v>66</v>
      </c>
      <c r="C187" s="2" t="s">
        <v>67</v>
      </c>
      <c r="D187" s="2">
        <v>5.502</v>
      </c>
      <c r="E187" s="5">
        <f t="shared" si="14"/>
        <v>2.646764813</v>
      </c>
      <c r="F187" s="2" t="s">
        <v>68</v>
      </c>
    </row>
    <row r="188">
      <c r="A188" s="2" t="s">
        <v>65</v>
      </c>
      <c r="B188" s="2" t="s">
        <v>66</v>
      </c>
      <c r="C188" s="2" t="s">
        <v>67</v>
      </c>
      <c r="D188" s="2">
        <v>7.601</v>
      </c>
      <c r="E188" s="5">
        <f t="shared" si="14"/>
        <v>3.110931336</v>
      </c>
      <c r="F188" s="2" t="s">
        <v>68</v>
      </c>
    </row>
    <row r="189">
      <c r="A189" s="2" t="s">
        <v>65</v>
      </c>
      <c r="B189" s="2" t="s">
        <v>66</v>
      </c>
      <c r="C189" s="2" t="s">
        <v>67</v>
      </c>
      <c r="D189" s="2">
        <v>9.964</v>
      </c>
      <c r="E189" s="5">
        <f t="shared" si="14"/>
        <v>3.561819594</v>
      </c>
      <c r="F189" s="2" t="s">
        <v>68</v>
      </c>
    </row>
    <row r="190">
      <c r="A190" s="2" t="s">
        <v>65</v>
      </c>
      <c r="B190" s="2" t="s">
        <v>66</v>
      </c>
      <c r="C190" s="2" t="s">
        <v>67</v>
      </c>
      <c r="D190" s="2">
        <v>14.479</v>
      </c>
      <c r="E190" s="5">
        <f t="shared" si="14"/>
        <v>4.293627297</v>
      </c>
      <c r="F190" s="2" t="s">
        <v>68</v>
      </c>
    </row>
    <row r="192">
      <c r="A192" s="2" t="s">
        <v>69</v>
      </c>
    </row>
    <row r="193">
      <c r="A193" s="2" t="s">
        <v>47</v>
      </c>
      <c r="B193" s="2" t="s">
        <v>59</v>
      </c>
      <c r="C193" s="2" t="s">
        <v>70</v>
      </c>
      <c r="D193" s="2" t="s">
        <v>71</v>
      </c>
      <c r="E193" s="2" t="s">
        <v>72</v>
      </c>
      <c r="F193" s="2" t="s">
        <v>73</v>
      </c>
      <c r="G193" s="2" t="s">
        <v>74</v>
      </c>
      <c r="H193" s="2" t="s">
        <v>60</v>
      </c>
    </row>
    <row r="194">
      <c r="A194" s="2" t="s">
        <v>2</v>
      </c>
      <c r="B194" s="2" t="s">
        <v>61</v>
      </c>
      <c r="C194" s="2" t="s">
        <v>75</v>
      </c>
      <c r="D194" s="2" t="s">
        <v>76</v>
      </c>
      <c r="F194" s="2" t="s">
        <v>77</v>
      </c>
      <c r="G194" s="2">
        <v>226.193</v>
      </c>
    </row>
    <row r="195">
      <c r="A195" s="2" t="s">
        <v>2</v>
      </c>
      <c r="B195" s="2" t="s">
        <v>66</v>
      </c>
      <c r="C195" s="2" t="s">
        <v>78</v>
      </c>
      <c r="D195" s="2" t="s">
        <v>79</v>
      </c>
      <c r="E195" s="2">
        <v>1.0</v>
      </c>
      <c r="F195" s="2" t="s">
        <v>80</v>
      </c>
      <c r="G195" s="2">
        <v>42.228</v>
      </c>
      <c r="H195" s="2" t="s">
        <v>81</v>
      </c>
    </row>
    <row r="196">
      <c r="A196" s="2" t="s">
        <v>2</v>
      </c>
      <c r="B196" s="2" t="s">
        <v>66</v>
      </c>
      <c r="C196" s="2" t="s">
        <v>78</v>
      </c>
      <c r="D196" s="2" t="s">
        <v>79</v>
      </c>
      <c r="E196" s="2">
        <v>2.0</v>
      </c>
      <c r="F196" s="2" t="s">
        <v>80</v>
      </c>
      <c r="G196" s="2">
        <v>19.747</v>
      </c>
    </row>
    <row r="197">
      <c r="A197" s="2" t="s">
        <v>2</v>
      </c>
      <c r="B197" s="2" t="s">
        <v>66</v>
      </c>
      <c r="C197" s="2" t="s">
        <v>78</v>
      </c>
      <c r="D197" s="2" t="s">
        <v>79</v>
      </c>
      <c r="E197" s="2">
        <v>3.0</v>
      </c>
      <c r="F197" s="2" t="s">
        <v>80</v>
      </c>
      <c r="G197" s="2">
        <v>13.731</v>
      </c>
    </row>
    <row r="198">
      <c r="A198" s="2" t="s">
        <v>2</v>
      </c>
      <c r="B198" s="2" t="s">
        <v>66</v>
      </c>
      <c r="C198" s="2" t="s">
        <v>78</v>
      </c>
      <c r="D198" s="2" t="s">
        <v>82</v>
      </c>
      <c r="E198" s="2">
        <v>1.0</v>
      </c>
      <c r="F198" s="2" t="s">
        <v>80</v>
      </c>
      <c r="G198" s="2">
        <v>45.557</v>
      </c>
      <c r="H198" s="2" t="s">
        <v>81</v>
      </c>
    </row>
    <row r="199">
      <c r="A199" s="2" t="s">
        <v>2</v>
      </c>
      <c r="B199" s="2" t="s">
        <v>66</v>
      </c>
      <c r="C199" s="2" t="s">
        <v>78</v>
      </c>
      <c r="D199" s="2" t="s">
        <v>82</v>
      </c>
      <c r="E199" s="2">
        <v>2.0</v>
      </c>
      <c r="F199" s="2" t="s">
        <v>80</v>
      </c>
      <c r="G199" s="2">
        <v>45.382</v>
      </c>
    </row>
    <row r="200">
      <c r="A200" s="2" t="s">
        <v>2</v>
      </c>
      <c r="B200" s="2" t="s">
        <v>66</v>
      </c>
      <c r="C200" s="2" t="s">
        <v>78</v>
      </c>
      <c r="D200" s="2" t="s">
        <v>82</v>
      </c>
      <c r="E200" s="2">
        <v>3.0</v>
      </c>
      <c r="F200" s="2" t="s">
        <v>80</v>
      </c>
      <c r="G200" s="2">
        <v>32.345</v>
      </c>
    </row>
    <row r="201">
      <c r="A201" s="2" t="s">
        <v>2</v>
      </c>
      <c r="B201" s="2" t="s">
        <v>66</v>
      </c>
      <c r="C201" s="2" t="s">
        <v>78</v>
      </c>
      <c r="D201" s="2" t="s">
        <v>82</v>
      </c>
      <c r="E201" s="2">
        <v>4.0</v>
      </c>
      <c r="F201" s="2" t="s">
        <v>80</v>
      </c>
      <c r="G201" s="2">
        <v>47.078</v>
      </c>
    </row>
    <row r="202">
      <c r="A202" s="2" t="s">
        <v>2</v>
      </c>
      <c r="B202" s="2" t="s">
        <v>66</v>
      </c>
      <c r="C202" s="2" t="s">
        <v>78</v>
      </c>
      <c r="D202" s="2" t="s">
        <v>82</v>
      </c>
      <c r="E202" s="2">
        <v>5.0</v>
      </c>
      <c r="F202" s="2" t="s">
        <v>80</v>
      </c>
      <c r="G202" s="2">
        <v>78.481</v>
      </c>
    </row>
    <row r="203">
      <c r="A203" s="2" t="s">
        <v>2</v>
      </c>
      <c r="B203" s="2" t="s">
        <v>66</v>
      </c>
      <c r="C203" s="2" t="s">
        <v>78</v>
      </c>
      <c r="D203" s="2" t="s">
        <v>83</v>
      </c>
      <c r="E203" s="2">
        <v>1.0</v>
      </c>
      <c r="F203" s="2" t="s">
        <v>80</v>
      </c>
      <c r="G203" s="2">
        <v>104.974</v>
      </c>
      <c r="H203" s="2" t="s">
        <v>84</v>
      </c>
    </row>
    <row r="204">
      <c r="A204" s="2" t="s">
        <v>1</v>
      </c>
      <c r="B204" s="2" t="s">
        <v>66</v>
      </c>
      <c r="C204" s="2" t="s">
        <v>85</v>
      </c>
      <c r="D204" s="2" t="s">
        <v>86</v>
      </c>
      <c r="E204" s="2">
        <v>1.0</v>
      </c>
      <c r="F204" s="2" t="s">
        <v>80</v>
      </c>
      <c r="G204" s="2">
        <v>344.062</v>
      </c>
      <c r="H204" s="2" t="s">
        <v>87</v>
      </c>
    </row>
    <row r="205">
      <c r="A205" s="2" t="s">
        <v>1</v>
      </c>
      <c r="B205" s="2" t="s">
        <v>66</v>
      </c>
      <c r="C205" s="2" t="s">
        <v>75</v>
      </c>
      <c r="D205" s="2" t="s">
        <v>88</v>
      </c>
      <c r="F205" s="2" t="s">
        <v>77</v>
      </c>
      <c r="G205" s="2">
        <v>222.921</v>
      </c>
      <c r="H205" s="2" t="s">
        <v>89</v>
      </c>
    </row>
    <row r="206">
      <c r="A206" s="2" t="s">
        <v>1</v>
      </c>
      <c r="B206" s="2" t="s">
        <v>61</v>
      </c>
      <c r="C206" s="2" t="s">
        <v>75</v>
      </c>
      <c r="D206" s="2" t="s">
        <v>90</v>
      </c>
      <c r="F206" s="2" t="s">
        <v>77</v>
      </c>
      <c r="G206" s="2">
        <v>165.78</v>
      </c>
    </row>
    <row r="207">
      <c r="A207" s="2" t="s">
        <v>1</v>
      </c>
      <c r="B207" s="2" t="s">
        <v>61</v>
      </c>
      <c r="C207" s="2" t="s">
        <v>78</v>
      </c>
      <c r="D207" s="2" t="s">
        <v>91</v>
      </c>
      <c r="E207" s="2">
        <v>1.0</v>
      </c>
      <c r="F207" s="2" t="s">
        <v>80</v>
      </c>
      <c r="G207" s="2">
        <v>88.382</v>
      </c>
    </row>
    <row r="208">
      <c r="A208" s="2" t="s">
        <v>1</v>
      </c>
      <c r="B208" s="2" t="s">
        <v>61</v>
      </c>
      <c r="C208" s="2" t="s">
        <v>78</v>
      </c>
      <c r="D208" s="2" t="s">
        <v>91</v>
      </c>
      <c r="E208" s="2">
        <v>2.0</v>
      </c>
      <c r="F208" s="2" t="s">
        <v>80</v>
      </c>
      <c r="G208" s="2">
        <v>18.655</v>
      </c>
    </row>
    <row r="209">
      <c r="A209" s="2" t="s">
        <v>1</v>
      </c>
      <c r="B209" s="2" t="s">
        <v>61</v>
      </c>
      <c r="C209" s="2" t="s">
        <v>78</v>
      </c>
      <c r="D209" s="2" t="s">
        <v>91</v>
      </c>
      <c r="E209" s="2">
        <v>3.0</v>
      </c>
      <c r="F209" s="2" t="s">
        <v>80</v>
      </c>
      <c r="G209" s="2">
        <v>30.463</v>
      </c>
    </row>
    <row r="210">
      <c r="A210" s="2" t="s">
        <v>1</v>
      </c>
      <c r="B210" s="2" t="s">
        <v>61</v>
      </c>
      <c r="C210" s="2" t="s">
        <v>78</v>
      </c>
      <c r="D210" s="2" t="s">
        <v>91</v>
      </c>
      <c r="E210" s="2">
        <v>4.0</v>
      </c>
      <c r="F210" s="2" t="s">
        <v>80</v>
      </c>
      <c r="G210" s="2">
        <v>35.009</v>
      </c>
    </row>
  </sheetData>
  <drawing r:id="rId1"/>
</worksheet>
</file>