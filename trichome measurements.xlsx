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ha\Downloads\"/>
    </mc:Choice>
  </mc:AlternateContent>
  <xr:revisionPtr revIDLastSave="0" documentId="8_{0C582FA6-9FD3-481D-97E1-7CBFFDD0510C}" xr6:coauthVersionLast="47" xr6:coauthVersionMax="47" xr10:uidLastSave="{00000000-0000-0000-0000-000000000000}"/>
  <bookViews>
    <workbookView xWindow="-108" yWindow="-108" windowWidth="23256" windowHeight="12456" xr2:uid="{2CAEA778-B7A5-4518-A3DF-CB170EC960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15" i="1" l="1"/>
  <c r="L6" i="1"/>
  <c r="I8" i="1"/>
</calcChain>
</file>

<file path=xl/sharedStrings.xml><?xml version="1.0" encoding="utf-8"?>
<sst xmlns="http://schemas.openxmlformats.org/spreadsheetml/2006/main" count="19" uniqueCount="11">
  <si>
    <t>mthf circle trichome</t>
  </si>
  <si>
    <t>perimeter (um)</t>
  </si>
  <si>
    <t>length (um)</t>
  </si>
  <si>
    <t>mstf trichome 3</t>
  </si>
  <si>
    <t>mstf_trichome_2_branches</t>
  </si>
  <si>
    <t>mstf_trichome_1_branches</t>
  </si>
  <si>
    <t>istf_trichome1</t>
  </si>
  <si>
    <t>ist_circle_trichome</t>
  </si>
  <si>
    <t>ithf_circle_trichome_2</t>
  </si>
  <si>
    <t>ithf_trichome</t>
  </si>
  <si>
    <t>avg length of branches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</si>
</sst>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B7ACB-A879-4126-944D-F29E8C755DBB}">
  <dimension ref="B2:L15"/>
  <sheetViews>
    <sheetView tabSelected="1" workbookViewId="0">
      <selection activeCell="N20" sqref="N20"/>
    </sheetView>
  </sheetViews>
  <sheetFormatPr defaultRowHeight="14.4" x14ac:dyDescent="0.3"/>
  <cols>
    <col min="2" max="2" width="17.33203125" bestFit="1" customWidth="1"/>
    <col min="3" max="3" width="12.88671875" bestFit="1" customWidth="1"/>
    <col min="5" max="5" width="16.33203125" bestFit="1" customWidth="1"/>
    <col min="6" max="6" width="12.88671875" bestFit="1" customWidth="1"/>
    <col min="8" max="8" width="23" bestFit="1" customWidth="1"/>
    <col min="9" max="9" width="12.88671875" bestFit="1" customWidth="1"/>
    <col min="11" max="11" width="23" bestFit="1" customWidth="1"/>
    <col min="12" max="12" width="9.88671875" bestFit="1" customWidth="1"/>
  </cols>
  <sheetData>
    <row r="2" spans="2:12" x14ac:dyDescent="0.3">
      <c r="B2" t="s">
        <v>0</v>
      </c>
      <c r="C2" t="s">
        <v>1</v>
      </c>
      <c r="E2" t="s">
        <v>3</v>
      </c>
      <c r="F2" t="s">
        <v>2</v>
      </c>
      <c r="H2" t="s">
        <v>4</v>
      </c>
      <c r="I2" t="s">
        <v>2</v>
      </c>
      <c r="K2" t="s">
        <v>5</v>
      </c>
      <c r="L2" t="s">
        <v>2</v>
      </c>
    </row>
    <row r="3" spans="2:12" x14ac:dyDescent="0.3">
      <c r="B3">
        <v>1</v>
      </c>
      <c r="C3">
        <v>226.19300000000001</v>
      </c>
      <c r="E3">
        <v>1</v>
      </c>
      <c r="F3">
        <v>104.974</v>
      </c>
      <c r="H3">
        <v>1</v>
      </c>
      <c r="I3">
        <v>45.557000000000002</v>
      </c>
      <c r="K3">
        <v>1</v>
      </c>
      <c r="L3">
        <v>42.228000000000002</v>
      </c>
    </row>
    <row r="4" spans="2:12" x14ac:dyDescent="0.3">
      <c r="H4">
        <v>2</v>
      </c>
      <c r="I4">
        <v>45.381999999999998</v>
      </c>
      <c r="K4">
        <v>2</v>
      </c>
      <c r="L4">
        <v>19.747</v>
      </c>
    </row>
    <row r="5" spans="2:12" x14ac:dyDescent="0.3">
      <c r="H5">
        <v>3</v>
      </c>
      <c r="I5">
        <v>32.344999999999999</v>
      </c>
      <c r="K5">
        <v>3</v>
      </c>
      <c r="L5">
        <v>13.731</v>
      </c>
    </row>
    <row r="6" spans="2:12" x14ac:dyDescent="0.3">
      <c r="H6">
        <v>4</v>
      </c>
      <c r="I6">
        <v>47.078000000000003</v>
      </c>
      <c r="K6" t="s">
        <v>10</v>
      </c>
      <c r="L6">
        <f>(L3+L4+L5)/3</f>
        <v>25.235333333333333</v>
      </c>
    </row>
    <row r="7" spans="2:12" x14ac:dyDescent="0.3">
      <c r="H7">
        <v>5</v>
      </c>
      <c r="I7">
        <v>78.480999999999995</v>
      </c>
    </row>
    <row r="8" spans="2:12" x14ac:dyDescent="0.3">
      <c r="H8" t="s">
        <v>10</v>
      </c>
      <c r="I8">
        <f>(I3+I4+I5+I6+I7)/5</f>
        <v>49.768599999999999</v>
      </c>
    </row>
    <row r="10" spans="2:12" x14ac:dyDescent="0.3">
      <c r="B10" t="s">
        <v>6</v>
      </c>
      <c r="C10" t="s">
        <v>2</v>
      </c>
      <c r="E10" t="s">
        <v>7</v>
      </c>
      <c r="F10" t="s">
        <v>1</v>
      </c>
      <c r="H10" t="s">
        <v>8</v>
      </c>
      <c r="I10" t="s">
        <v>1</v>
      </c>
      <c r="K10" t="s">
        <v>9</v>
      </c>
      <c r="L10" t="s">
        <v>2</v>
      </c>
    </row>
    <row r="11" spans="2:12" x14ac:dyDescent="0.3">
      <c r="B11">
        <v>1</v>
      </c>
      <c r="C11">
        <v>344.06200000000001</v>
      </c>
      <c r="E11">
        <v>1</v>
      </c>
      <c r="F11">
        <v>222.92099999999999</v>
      </c>
      <c r="H11">
        <v>1</v>
      </c>
      <c r="I11">
        <v>165.78</v>
      </c>
      <c r="K11">
        <v>1</v>
      </c>
      <c r="L11">
        <v>88.382000000000005</v>
      </c>
    </row>
    <row r="12" spans="2:12" x14ac:dyDescent="0.3">
      <c r="K12">
        <v>2</v>
      </c>
      <c r="L12">
        <v>18.655000000000001</v>
      </c>
    </row>
    <row r="13" spans="2:12" x14ac:dyDescent="0.3">
      <c r="K13">
        <v>3</v>
      </c>
      <c r="L13">
        <v>30.463000000000001</v>
      </c>
    </row>
    <row r="14" spans="2:12" x14ac:dyDescent="0.3">
      <c r="K14">
        <v>4</v>
      </c>
      <c r="L14">
        <v>35.009</v>
      </c>
    </row>
    <row r="15" spans="2:12" x14ac:dyDescent="0.3">
      <c r="K15" t="s">
        <v>10</v>
      </c>
      <c r="L15">
        <f>(L11+L12+L13+L14)/4</f>
        <v>43.127250000000004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Pham</dc:creator>
  <cp:lastModifiedBy>nathan pham</cp:lastModifiedBy>
  <dcterms:created xsi:type="dcterms:W3CDTF">2026-07-30T19:28:54Z</dcterms:created>
  <dcterms:modified xsi:type="dcterms:W3CDTF">2026-08-11T19:16:31Z</dcterms:modified>
</cp:coreProperties>
</file>